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dan\Downloads\"/>
    </mc:Choice>
  </mc:AlternateContent>
  <xr:revisionPtr revIDLastSave="0" documentId="13_ncr:1_{493CB103-66A4-4FB9-B160-5DB45F459AD2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Employee_Master" sheetId="1" r:id="rId1"/>
    <sheet name="Sales_Data" sheetId="2" r:id="rId2"/>
    <sheet name="Helper_Data" sheetId="3" r:id="rId3"/>
    <sheet name="Solution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7" i="4" l="1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4" i="4"/>
  <c r="G53" i="4"/>
  <c r="G52" i="4"/>
  <c r="G51" i="4"/>
  <c r="G50" i="4"/>
  <c r="G49" i="4"/>
  <c r="G48" i="4"/>
  <c r="G47" i="4"/>
  <c r="G46" i="4"/>
  <c r="G45" i="4"/>
  <c r="G43" i="4"/>
  <c r="G42" i="4"/>
  <c r="G41" i="4"/>
  <c r="G40" i="4"/>
  <c r="G39" i="4"/>
  <c r="G38" i="4"/>
  <c r="G37" i="4"/>
  <c r="G36" i="4"/>
  <c r="G35" i="4"/>
  <c r="G34" i="4"/>
  <c r="G32" i="4"/>
  <c r="G31" i="4"/>
  <c r="G30" i="4"/>
  <c r="G29" i="4"/>
  <c r="G28" i="4"/>
  <c r="G27" i="4"/>
  <c r="G26" i="4"/>
  <c r="G25" i="4"/>
  <c r="G24" i="4"/>
  <c r="G23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</calcChain>
</file>

<file path=xl/sharedStrings.xml><?xml version="1.0" encoding="utf-8"?>
<sst xmlns="http://schemas.openxmlformats.org/spreadsheetml/2006/main" count="6883" uniqueCount="1349">
  <si>
    <t>Emp_ID</t>
  </si>
  <si>
    <t>Emp_Name</t>
  </si>
  <si>
    <t>Department</t>
  </si>
  <si>
    <t>Designation</t>
  </si>
  <si>
    <t>Manager</t>
  </si>
  <si>
    <t>Branch</t>
  </si>
  <si>
    <t>Region</t>
  </si>
  <si>
    <t>State</t>
  </si>
  <si>
    <t>City</t>
  </si>
  <si>
    <t>Gender</t>
  </si>
  <si>
    <t>DOJ</t>
  </si>
  <si>
    <t>Experience</t>
  </si>
  <si>
    <t>Salary</t>
  </si>
  <si>
    <t>Bonus</t>
  </si>
  <si>
    <t>Rating</t>
  </si>
  <si>
    <t>Status</t>
  </si>
  <si>
    <t>Shift</t>
  </si>
  <si>
    <t>Grade</t>
  </si>
  <si>
    <t>Email</t>
  </si>
  <si>
    <t>Phone</t>
  </si>
  <si>
    <t>EMP0001</t>
  </si>
  <si>
    <t>Nisha</t>
  </si>
  <si>
    <t>IT</t>
  </si>
  <si>
    <t>Associate</t>
  </si>
  <si>
    <t>Meena</t>
  </si>
  <si>
    <t>Mumbai</t>
  </si>
  <si>
    <t>West</t>
  </si>
  <si>
    <t>Delhi</t>
  </si>
  <si>
    <t>Lucknow</t>
  </si>
  <si>
    <t>Female</t>
  </si>
  <si>
    <t>Active</t>
  </si>
  <si>
    <t>Evening</t>
  </si>
  <si>
    <t>A</t>
  </si>
  <si>
    <t>nisha1@company.com</t>
  </si>
  <si>
    <t>EMP0002</t>
  </si>
  <si>
    <t>Ankit</t>
  </si>
  <si>
    <t>Sales</t>
  </si>
  <si>
    <t>Sunil</t>
  </si>
  <si>
    <t>Pune</t>
  </si>
  <si>
    <t>East</t>
  </si>
  <si>
    <t>Telangana</t>
  </si>
  <si>
    <t>Male</t>
  </si>
  <si>
    <t>Inactive</t>
  </si>
  <si>
    <t>General</t>
  </si>
  <si>
    <t>ankit2@company.com</t>
  </si>
  <si>
    <t>9889479538</t>
  </si>
  <si>
    <t>EMP0003</t>
  </si>
  <si>
    <t>Neha</t>
  </si>
  <si>
    <t>Rajesh</t>
  </si>
  <si>
    <t>Hyderabad</t>
  </si>
  <si>
    <t>Maharashtra</t>
  </si>
  <si>
    <t>B</t>
  </si>
  <si>
    <t>neha3@company.com</t>
  </si>
  <si>
    <t>9865327585</t>
  </si>
  <si>
    <t>EMP0004</t>
  </si>
  <si>
    <t>Amit</t>
  </si>
  <si>
    <t>MIS</t>
  </si>
  <si>
    <t>Executive</t>
  </si>
  <si>
    <t>Deepak</t>
  </si>
  <si>
    <t>South</t>
  </si>
  <si>
    <t>Morning</t>
  </si>
  <si>
    <t>amit4@company.com</t>
  </si>
  <si>
    <t>9821866564</t>
  </si>
  <si>
    <t>EMP0005</t>
  </si>
  <si>
    <t>C</t>
  </si>
  <si>
    <t>neha5@company.com</t>
  </si>
  <si>
    <t>9822446249</t>
  </si>
  <si>
    <t>EMP0006</t>
  </si>
  <si>
    <t>Sneha</t>
  </si>
  <si>
    <t>HR</t>
  </si>
  <si>
    <t>Senior Analyst</t>
  </si>
  <si>
    <t>Karnataka</t>
  </si>
  <si>
    <t>sneha6@company.com</t>
  </si>
  <si>
    <t>9880322440</t>
  </si>
  <si>
    <t>EMP0007</t>
  </si>
  <si>
    <t>Pooja</t>
  </si>
  <si>
    <t>pooja7@company.com</t>
  </si>
  <si>
    <t>9831613972</t>
  </si>
  <si>
    <t>EMP0008</t>
  </si>
  <si>
    <t>Priya</t>
  </si>
  <si>
    <t>Anita</t>
  </si>
  <si>
    <t>North</t>
  </si>
  <si>
    <t>priya8@company.com</t>
  </si>
  <si>
    <t>9834268094</t>
  </si>
  <si>
    <t>EMP0009</t>
  </si>
  <si>
    <t>Operations</t>
  </si>
  <si>
    <t>Analyst</t>
  </si>
  <si>
    <t>amit9@company.com</t>
  </si>
  <si>
    <t>9816222856</t>
  </si>
  <si>
    <t>EMP0010</t>
  </si>
  <si>
    <t>Simran</t>
  </si>
  <si>
    <t>simran10@company.com</t>
  </si>
  <si>
    <t>9883463572</t>
  </si>
  <si>
    <t>EMP0011</t>
  </si>
  <si>
    <t>sneha11@company.com</t>
  </si>
  <si>
    <t>9821169177</t>
  </si>
  <si>
    <t>EMP0012</t>
  </si>
  <si>
    <t>UP</t>
  </si>
  <si>
    <t>Bengaluru</t>
  </si>
  <si>
    <t>neha12@company.com</t>
  </si>
  <si>
    <t>9881377626</t>
  </si>
  <si>
    <t>EMP0013</t>
  </si>
  <si>
    <t>Finance</t>
  </si>
  <si>
    <t>nisha13@company.com</t>
  </si>
  <si>
    <t>9849233923</t>
  </si>
  <si>
    <t>EMP0014</t>
  </si>
  <si>
    <t>nisha14@company.com</t>
  </si>
  <si>
    <t>9820523854</t>
  </si>
  <si>
    <t>EMP0015</t>
  </si>
  <si>
    <t>Riya</t>
  </si>
  <si>
    <t>riya15@company.com</t>
  </si>
  <si>
    <t>9853844098</t>
  </si>
  <si>
    <t>EMP0016</t>
  </si>
  <si>
    <t>sneha16@company.com</t>
  </si>
  <si>
    <t>9862705416</t>
  </si>
  <si>
    <t>EMP0017</t>
  </si>
  <si>
    <t>sneha17@company.com</t>
  </si>
  <si>
    <t>9862970512</t>
  </si>
  <si>
    <t>EMP0018</t>
  </si>
  <si>
    <t>ankit18@company.com</t>
  </si>
  <si>
    <t>9890449181</t>
  </si>
  <si>
    <t>EMP0019</t>
  </si>
  <si>
    <t>nisha19@company.com</t>
  </si>
  <si>
    <t>9826327716</t>
  </si>
  <si>
    <t>EMP0020</t>
  </si>
  <si>
    <t>Vikas</t>
  </si>
  <si>
    <t>vikas20@company.com</t>
  </si>
  <si>
    <t>9894384487</t>
  </si>
  <si>
    <t>EMP0021</t>
  </si>
  <si>
    <t>Aditya</t>
  </si>
  <si>
    <t>aditya21@company.com</t>
  </si>
  <si>
    <t>9894483224</t>
  </si>
  <si>
    <t>EMP0022</t>
  </si>
  <si>
    <t>aditya22@company.com</t>
  </si>
  <si>
    <t>9866378892</t>
  </si>
  <si>
    <t>EMP0023</t>
  </si>
  <si>
    <t>Rahul</t>
  </si>
  <si>
    <t>rahul23@company.com</t>
  </si>
  <si>
    <t>9827739495</t>
  </si>
  <si>
    <t>EMP0024</t>
  </si>
  <si>
    <t>pooja24@company.com</t>
  </si>
  <si>
    <t>9879930976</t>
  </si>
  <si>
    <t>EMP0025</t>
  </si>
  <si>
    <t>Karan</t>
  </si>
  <si>
    <t>karan25@company.com</t>
  </si>
  <si>
    <t>9844504150</t>
  </si>
  <si>
    <t>EMP0026</t>
  </si>
  <si>
    <t>nisha26@company.com</t>
  </si>
  <si>
    <t>9812344270</t>
  </si>
  <si>
    <t>EMP0027</t>
  </si>
  <si>
    <t>sneha27@company.com</t>
  </si>
  <si>
    <t>9831429568</t>
  </si>
  <si>
    <t>EMP0028</t>
  </si>
  <si>
    <t>sneha28@company.com</t>
  </si>
  <si>
    <t>9868542254</t>
  </si>
  <si>
    <t>EMP0029</t>
  </si>
  <si>
    <t>karan29@company.com</t>
  </si>
  <si>
    <t>9899501810</t>
  </si>
  <si>
    <t>EMP0030</t>
  </si>
  <si>
    <t>aditya30@company.com</t>
  </si>
  <si>
    <t>9816623450</t>
  </si>
  <si>
    <t>EMP0031</t>
  </si>
  <si>
    <t>sneha31@company.com</t>
  </si>
  <si>
    <t>9846162991</t>
  </si>
  <si>
    <t>EMP0032</t>
  </si>
  <si>
    <t>riya32@company.com</t>
  </si>
  <si>
    <t>9872802670</t>
  </si>
  <si>
    <t>EMP0033</t>
  </si>
  <si>
    <t>amit33@company.com</t>
  </si>
  <si>
    <t>9870620234</t>
  </si>
  <si>
    <t>EMP0034</t>
  </si>
  <si>
    <t>Saurabh</t>
  </si>
  <si>
    <t>saurabh34@company.com</t>
  </si>
  <si>
    <t>9835740823</t>
  </si>
  <si>
    <t>EMP0035</t>
  </si>
  <si>
    <t>Rohit</t>
  </si>
  <si>
    <t>rohit35@company.com</t>
  </si>
  <si>
    <t>9813914501</t>
  </si>
  <si>
    <t>EMP0036</t>
  </si>
  <si>
    <t>nisha36@company.com</t>
  </si>
  <si>
    <t>9832308043</t>
  </si>
  <si>
    <t>EMP0037</t>
  </si>
  <si>
    <t>aditya37@company.com</t>
  </si>
  <si>
    <t>9853287664</t>
  </si>
  <si>
    <t>EMP0038</t>
  </si>
  <si>
    <t>karan38@company.com</t>
  </si>
  <si>
    <t>9850259858</t>
  </si>
  <si>
    <t>EMP0039</t>
  </si>
  <si>
    <t>simran39@company.com</t>
  </si>
  <si>
    <t>9860761627</t>
  </si>
  <si>
    <t>EMP0040</t>
  </si>
  <si>
    <t>rohit40@company.com</t>
  </si>
  <si>
    <t>9895787787</t>
  </si>
  <si>
    <t>EMP0041</t>
  </si>
  <si>
    <t>karan41@company.com</t>
  </si>
  <si>
    <t>9811651843</t>
  </si>
  <si>
    <t>EMP0042</t>
  </si>
  <si>
    <t>neha42@company.com</t>
  </si>
  <si>
    <t>9851742606</t>
  </si>
  <si>
    <t>EMP0043</t>
  </si>
  <si>
    <t>simran43@company.com</t>
  </si>
  <si>
    <t>9833012564</t>
  </si>
  <si>
    <t>EMP0044</t>
  </si>
  <si>
    <t>Kavita</t>
  </si>
  <si>
    <t>kavita44@company.com</t>
  </si>
  <si>
    <t>9844825602</t>
  </si>
  <si>
    <t>EMP0045</t>
  </si>
  <si>
    <t>vikas45@company.com</t>
  </si>
  <si>
    <t>9827458953</t>
  </si>
  <si>
    <t>EMP0046</t>
  </si>
  <si>
    <t>ankit46@company.com</t>
  </si>
  <si>
    <t>9855433326</t>
  </si>
  <si>
    <t>EMP0047</t>
  </si>
  <si>
    <t>kavita47@company.com</t>
  </si>
  <si>
    <t>9871989844</t>
  </si>
  <si>
    <t>EMP0048</t>
  </si>
  <si>
    <t>karan48@company.com</t>
  </si>
  <si>
    <t>9879247019</t>
  </si>
  <si>
    <t>EMP0049</t>
  </si>
  <si>
    <t>priya49@company.com</t>
  </si>
  <si>
    <t>9877421143</t>
  </si>
  <si>
    <t>EMP0050</t>
  </si>
  <si>
    <t>riya50@company.com</t>
  </si>
  <si>
    <t>9811307321</t>
  </si>
  <si>
    <t>EMP0051</t>
  </si>
  <si>
    <t>karan51@company.com</t>
  </si>
  <si>
    <t>9851921056</t>
  </si>
  <si>
    <t>EMP0052</t>
  </si>
  <si>
    <t>ankit52@company.com</t>
  </si>
  <si>
    <t>9898517798</t>
  </si>
  <si>
    <t>EMP0053</t>
  </si>
  <si>
    <t>ankit53@company.com</t>
  </si>
  <si>
    <t>9834424511</t>
  </si>
  <si>
    <t>EMP0054</t>
  </si>
  <si>
    <t>rahul54@company.com</t>
  </si>
  <si>
    <t>9856645052</t>
  </si>
  <si>
    <t>EMP0055</t>
  </si>
  <si>
    <t>vikas55@company.com</t>
  </si>
  <si>
    <t>9814345358</t>
  </si>
  <si>
    <t>EMP0056</t>
  </si>
  <si>
    <t>saurabh56@company.com</t>
  </si>
  <si>
    <t>9850190495</t>
  </si>
  <si>
    <t>EMP0057</t>
  </si>
  <si>
    <t>amit57@company.com</t>
  </si>
  <si>
    <t>9897399606</t>
  </si>
  <si>
    <t>EMP0058</t>
  </si>
  <si>
    <t>rahul58@company.com</t>
  </si>
  <si>
    <t>9890264383</t>
  </si>
  <si>
    <t>EMP0059</t>
  </si>
  <si>
    <t>vikas59@company.com</t>
  </si>
  <si>
    <t>9810016376</t>
  </si>
  <si>
    <t>EMP0060</t>
  </si>
  <si>
    <t>simran60@company.com</t>
  </si>
  <si>
    <t>9869974283</t>
  </si>
  <si>
    <t>EMP0061</t>
  </si>
  <si>
    <t>nisha61@company.com</t>
  </si>
  <si>
    <t>9855143661</t>
  </si>
  <si>
    <t>EMP0062</t>
  </si>
  <si>
    <t>aditya62@company.com</t>
  </si>
  <si>
    <t>9883231468</t>
  </si>
  <si>
    <t>EMP0063</t>
  </si>
  <si>
    <t>neha63@company.com</t>
  </si>
  <si>
    <t>9826534121</t>
  </si>
  <si>
    <t>EMP0064</t>
  </si>
  <si>
    <t>nisha64@company.com</t>
  </si>
  <si>
    <t>9832009742</t>
  </si>
  <si>
    <t>EMP0065</t>
  </si>
  <si>
    <t>vikas65@company.com</t>
  </si>
  <si>
    <t>9873939888</t>
  </si>
  <si>
    <t>EMP0066</t>
  </si>
  <si>
    <t>rohit66@company.com</t>
  </si>
  <si>
    <t>9845455838</t>
  </si>
  <si>
    <t>EMP0067</t>
  </si>
  <si>
    <t>rahul67@company.com</t>
  </si>
  <si>
    <t>9873496148</t>
  </si>
  <si>
    <t>EMP0068</t>
  </si>
  <si>
    <t>rahul68@company.com</t>
  </si>
  <si>
    <t>9892137376</t>
  </si>
  <si>
    <t>EMP0069</t>
  </si>
  <si>
    <t>kavita69@company.com</t>
  </si>
  <si>
    <t>9854739737</t>
  </si>
  <si>
    <t>EMP0070</t>
  </si>
  <si>
    <t>simran70@company.com</t>
  </si>
  <si>
    <t>9817295991</t>
  </si>
  <si>
    <t>EMP0071</t>
  </si>
  <si>
    <t>vikas71@company.com</t>
  </si>
  <si>
    <t>9894816966</t>
  </si>
  <si>
    <t>EMP0072</t>
  </si>
  <si>
    <t>aditya72@company.com</t>
  </si>
  <si>
    <t>9819270156</t>
  </si>
  <si>
    <t>EMP0073</t>
  </si>
  <si>
    <t>karan73@company.com</t>
  </si>
  <si>
    <t>9817190689</t>
  </si>
  <si>
    <t>EMP0074</t>
  </si>
  <si>
    <t>amit74@company.com</t>
  </si>
  <si>
    <t>9898762720</t>
  </si>
  <si>
    <t>EMP0075</t>
  </si>
  <si>
    <t>karan75@company.com</t>
  </si>
  <si>
    <t>9815533738</t>
  </si>
  <si>
    <t>EMP0076</t>
  </si>
  <si>
    <t>simran76@company.com</t>
  </si>
  <si>
    <t>9824070646</t>
  </si>
  <si>
    <t>EMP0077</t>
  </si>
  <si>
    <t>nisha77@company.com</t>
  </si>
  <si>
    <t>9869811301</t>
  </si>
  <si>
    <t>EMP0078</t>
  </si>
  <si>
    <t>saurabh78@company.com</t>
  </si>
  <si>
    <t>9810906187</t>
  </si>
  <si>
    <t>EMP0079</t>
  </si>
  <si>
    <t>riya79@company.com</t>
  </si>
  <si>
    <t>9826009920</t>
  </si>
  <si>
    <t>EMP0080</t>
  </si>
  <si>
    <t>rahul80@company.com</t>
  </si>
  <si>
    <t>9834105698</t>
  </si>
  <si>
    <t>EMP0081</t>
  </si>
  <si>
    <t>sneha81@company.com</t>
  </si>
  <si>
    <t>9863017888</t>
  </si>
  <si>
    <t>EMP0082</t>
  </si>
  <si>
    <t>neha82@company.com</t>
  </si>
  <si>
    <t>9810244014</t>
  </si>
  <si>
    <t>EMP0083</t>
  </si>
  <si>
    <t>rahul83@company.com</t>
  </si>
  <si>
    <t>9875924134</t>
  </si>
  <si>
    <t>EMP0084</t>
  </si>
  <si>
    <t>saurabh84@company.com</t>
  </si>
  <si>
    <t>9844127326</t>
  </si>
  <si>
    <t>EMP0085</t>
  </si>
  <si>
    <t>karan85@company.com</t>
  </si>
  <si>
    <t>9890515710</t>
  </si>
  <si>
    <t>EMP0086</t>
  </si>
  <si>
    <t>saurabh86@company.com</t>
  </si>
  <si>
    <t>9829713759</t>
  </si>
  <si>
    <t>EMP0087</t>
  </si>
  <si>
    <t>rohit87@company.com</t>
  </si>
  <si>
    <t>9839230573</t>
  </si>
  <si>
    <t>EMP0088</t>
  </si>
  <si>
    <t>ankit88@company.com</t>
  </si>
  <si>
    <t>9884117189</t>
  </si>
  <si>
    <t>EMP0089</t>
  </si>
  <si>
    <t>vikas89@company.com</t>
  </si>
  <si>
    <t>9821963392</t>
  </si>
  <si>
    <t>EMP0090</t>
  </si>
  <si>
    <t>priya90@company.com</t>
  </si>
  <si>
    <t>9870528029</t>
  </si>
  <si>
    <t>EMP0091</t>
  </si>
  <si>
    <t>rahul91@company.com</t>
  </si>
  <si>
    <t>9856527444</t>
  </si>
  <si>
    <t>EMP0092</t>
  </si>
  <si>
    <t>karan92@company.com</t>
  </si>
  <si>
    <t>9820992367</t>
  </si>
  <si>
    <t>EMP0093</t>
  </si>
  <si>
    <t>riya93@company.com</t>
  </si>
  <si>
    <t>9823207882</t>
  </si>
  <si>
    <t>EMP0094</t>
  </si>
  <si>
    <t>priya94@company.com</t>
  </si>
  <si>
    <t>9861780755</t>
  </si>
  <si>
    <t>EMP0095</t>
  </si>
  <si>
    <t>amit95@company.com</t>
  </si>
  <si>
    <t>9829513449</t>
  </si>
  <si>
    <t>EMP0096</t>
  </si>
  <si>
    <t>sneha96@company.com</t>
  </si>
  <si>
    <t>9846421490</t>
  </si>
  <si>
    <t>EMP0097</t>
  </si>
  <si>
    <t>karan97@company.com</t>
  </si>
  <si>
    <t>9853218711</t>
  </si>
  <si>
    <t>EMP0098</t>
  </si>
  <si>
    <t>vikas98@company.com</t>
  </si>
  <si>
    <t>9883016856</t>
  </si>
  <si>
    <t>EMP0099</t>
  </si>
  <si>
    <t>sneha99@company.com</t>
  </si>
  <si>
    <t>9841694798</t>
  </si>
  <si>
    <t>EMP0100</t>
  </si>
  <si>
    <t>pooja100@company.com</t>
  </si>
  <si>
    <t>9843680266</t>
  </si>
  <si>
    <t>EMP0101</t>
  </si>
  <si>
    <t>riya101@company.com</t>
  </si>
  <si>
    <t>9899048431</t>
  </si>
  <si>
    <t>EMP0102</t>
  </si>
  <si>
    <t>rahul102@company.com</t>
  </si>
  <si>
    <t>9871731136</t>
  </si>
  <si>
    <t>EMP0103</t>
  </si>
  <si>
    <t>simran103@company.com</t>
  </si>
  <si>
    <t>9874532583</t>
  </si>
  <si>
    <t>EMP0104</t>
  </si>
  <si>
    <t>sneha104@company.com</t>
  </si>
  <si>
    <t>9810425637</t>
  </si>
  <si>
    <t>EMP0105</t>
  </si>
  <si>
    <t>saurabh105@company.com</t>
  </si>
  <si>
    <t>9890767307</t>
  </si>
  <si>
    <t>EMP0106</t>
  </si>
  <si>
    <t>saurabh106@company.com</t>
  </si>
  <si>
    <t>9861801493</t>
  </si>
  <si>
    <t>EMP0107</t>
  </si>
  <si>
    <t>nisha107@company.com</t>
  </si>
  <si>
    <t>9884200963</t>
  </si>
  <si>
    <t>EMP0108</t>
  </si>
  <si>
    <t>ankit108@company.com</t>
  </si>
  <si>
    <t>9895376255</t>
  </si>
  <si>
    <t>EMP0109</t>
  </si>
  <si>
    <t>nisha109@company.com</t>
  </si>
  <si>
    <t>9896715070</t>
  </si>
  <si>
    <t>EMP0110</t>
  </si>
  <si>
    <t>ankit110@company.com</t>
  </si>
  <si>
    <t>9824723752</t>
  </si>
  <si>
    <t>EMP0111</t>
  </si>
  <si>
    <t>riya111@company.com</t>
  </si>
  <si>
    <t>9814711675</t>
  </si>
  <si>
    <t>EMP0112</t>
  </si>
  <si>
    <t>kavita112@company.com</t>
  </si>
  <si>
    <t>9874634278</t>
  </si>
  <si>
    <t>EMP0113</t>
  </si>
  <si>
    <t>rahul113@company.com</t>
  </si>
  <si>
    <t>9817784868</t>
  </si>
  <si>
    <t>EMP0114</t>
  </si>
  <si>
    <t>pooja114@company.com</t>
  </si>
  <si>
    <t>9888852392</t>
  </si>
  <si>
    <t>EMP0115</t>
  </si>
  <si>
    <t>riya115@company.com</t>
  </si>
  <si>
    <t>9829438478</t>
  </si>
  <si>
    <t>EMP0116</t>
  </si>
  <si>
    <t>rohit116@company.com</t>
  </si>
  <si>
    <t>9833261548</t>
  </si>
  <si>
    <t>EMP0117</t>
  </si>
  <si>
    <t>priya117@company.com</t>
  </si>
  <si>
    <t>9877695127</t>
  </si>
  <si>
    <t>EMP0118</t>
  </si>
  <si>
    <t>riya118@company.com</t>
  </si>
  <si>
    <t>9859194122</t>
  </si>
  <si>
    <t>EMP0119</t>
  </si>
  <si>
    <t>aditya119@company.com</t>
  </si>
  <si>
    <t>9892988192</t>
  </si>
  <si>
    <t>EMP0120</t>
  </si>
  <si>
    <t>sneha120@company.com</t>
  </si>
  <si>
    <t>9864197650</t>
  </si>
  <si>
    <t>EMP0121</t>
  </si>
  <si>
    <t>priya121@company.com</t>
  </si>
  <si>
    <t>9862109175</t>
  </si>
  <si>
    <t>EMP0122</t>
  </si>
  <si>
    <t>vikas122@company.com</t>
  </si>
  <si>
    <t>9871796671</t>
  </si>
  <si>
    <t>EMP0123</t>
  </si>
  <si>
    <t>sneha123@company.com</t>
  </si>
  <si>
    <t>9841949614</t>
  </si>
  <si>
    <t>EMP0124</t>
  </si>
  <si>
    <t>pooja124@company.com</t>
  </si>
  <si>
    <t>9875002256</t>
  </si>
  <si>
    <t>EMP0125</t>
  </si>
  <si>
    <t>priya125@company.com</t>
  </si>
  <si>
    <t>9822858773</t>
  </si>
  <si>
    <t>EMP0126</t>
  </si>
  <si>
    <t>sneha126@company.com</t>
  </si>
  <si>
    <t>9843319330</t>
  </si>
  <si>
    <t>EMP0127</t>
  </si>
  <si>
    <t>simran127@company.com</t>
  </si>
  <si>
    <t>9812100968</t>
  </si>
  <si>
    <t>EMP0128</t>
  </si>
  <si>
    <t>riya128@company.com</t>
  </si>
  <si>
    <t>9826465721</t>
  </si>
  <si>
    <t>EMP0129</t>
  </si>
  <si>
    <t>nisha129@company.com</t>
  </si>
  <si>
    <t>9888172877</t>
  </si>
  <si>
    <t>EMP0130</t>
  </si>
  <si>
    <t>rohit130@company.com</t>
  </si>
  <si>
    <t>9840025857</t>
  </si>
  <si>
    <t>EMP0131</t>
  </si>
  <si>
    <t>aditya131@company.com</t>
  </si>
  <si>
    <t>9834869492</t>
  </si>
  <si>
    <t>EMP0132</t>
  </si>
  <si>
    <t>riya132@company.com</t>
  </si>
  <si>
    <t>9830484856</t>
  </si>
  <si>
    <t>EMP0133</t>
  </si>
  <si>
    <t>neha133@company.com</t>
  </si>
  <si>
    <t>9821727177</t>
  </si>
  <si>
    <t>EMP0134</t>
  </si>
  <si>
    <t>saurabh134@company.com</t>
  </si>
  <si>
    <t>9888297736</t>
  </si>
  <si>
    <t>EMP0135</t>
  </si>
  <si>
    <t>karan135@company.com</t>
  </si>
  <si>
    <t>9848378003</t>
  </si>
  <si>
    <t>EMP0136</t>
  </si>
  <si>
    <t>riya136@company.com</t>
  </si>
  <si>
    <t>9898394695</t>
  </si>
  <si>
    <t>EMP0137</t>
  </si>
  <si>
    <t>aditya137@company.com</t>
  </si>
  <si>
    <t>9813133653</t>
  </si>
  <si>
    <t>EMP0138</t>
  </si>
  <si>
    <t>simran138@company.com</t>
  </si>
  <si>
    <t>9819763397</t>
  </si>
  <si>
    <t>EMP0139</t>
  </si>
  <si>
    <t>sneha139@company.com</t>
  </si>
  <si>
    <t>9881861182</t>
  </si>
  <si>
    <t>EMP0140</t>
  </si>
  <si>
    <t>neha140@company.com</t>
  </si>
  <si>
    <t>9853231011</t>
  </si>
  <si>
    <t>EMP0141</t>
  </si>
  <si>
    <t>karan141@company.com</t>
  </si>
  <si>
    <t>9866565311</t>
  </si>
  <si>
    <t>EMP0142</t>
  </si>
  <si>
    <t>simran142@company.com</t>
  </si>
  <si>
    <t>9856560124</t>
  </si>
  <si>
    <t>EMP0143</t>
  </si>
  <si>
    <t>amit143@company.com</t>
  </si>
  <si>
    <t>9821710371</t>
  </si>
  <si>
    <t>EMP0144</t>
  </si>
  <si>
    <t>aditya144@company.com</t>
  </si>
  <si>
    <t>9852999752</t>
  </si>
  <si>
    <t>EMP0145</t>
  </si>
  <si>
    <t>amit145@company.com</t>
  </si>
  <si>
    <t>9846533407</t>
  </si>
  <si>
    <t>EMP0146</t>
  </si>
  <si>
    <t>rohit146@company.com</t>
  </si>
  <si>
    <t>9862480120</t>
  </si>
  <si>
    <t>EMP0147</t>
  </si>
  <si>
    <t>aditya147@company.com</t>
  </si>
  <si>
    <t>9893213909</t>
  </si>
  <si>
    <t>EMP0148</t>
  </si>
  <si>
    <t>sneha148@company.com</t>
  </si>
  <si>
    <t>9837353325</t>
  </si>
  <si>
    <t>EMP0149</t>
  </si>
  <si>
    <t>simran149@company.com</t>
  </si>
  <si>
    <t>9856015671</t>
  </si>
  <si>
    <t>EMP0150</t>
  </si>
  <si>
    <t>sneha150@company.com</t>
  </si>
  <si>
    <t>9840897057</t>
  </si>
  <si>
    <t>EMP0151</t>
  </si>
  <si>
    <t>karan151@company.com</t>
  </si>
  <si>
    <t>9815888339</t>
  </si>
  <si>
    <t>EMP0152</t>
  </si>
  <si>
    <t>priya152@company.com</t>
  </si>
  <si>
    <t>9816405421</t>
  </si>
  <si>
    <t>EMP0153</t>
  </si>
  <si>
    <t>nisha153@company.com</t>
  </si>
  <si>
    <t>9877035160</t>
  </si>
  <si>
    <t>EMP0154</t>
  </si>
  <si>
    <t>amit154@company.com</t>
  </si>
  <si>
    <t>9837066254</t>
  </si>
  <si>
    <t>EMP0155</t>
  </si>
  <si>
    <t>pooja155@company.com</t>
  </si>
  <si>
    <t>9810047499</t>
  </si>
  <si>
    <t>EMP0156</t>
  </si>
  <si>
    <t>rohit156@company.com</t>
  </si>
  <si>
    <t>9850741881</t>
  </si>
  <si>
    <t>EMP0157</t>
  </si>
  <si>
    <t>simran157@company.com</t>
  </si>
  <si>
    <t>9874108656</t>
  </si>
  <si>
    <t>EMP0158</t>
  </si>
  <si>
    <t>ankit158@company.com</t>
  </si>
  <si>
    <t>9849357516</t>
  </si>
  <si>
    <t>EMP0159</t>
  </si>
  <si>
    <t>neha159@company.com</t>
  </si>
  <si>
    <t>9871724107</t>
  </si>
  <si>
    <t>EMP0160</t>
  </si>
  <si>
    <t>rohit160@company.com</t>
  </si>
  <si>
    <t>9855250750</t>
  </si>
  <si>
    <t>EMP0161</t>
  </si>
  <si>
    <t>vikas161@company.com</t>
  </si>
  <si>
    <t>9816847677</t>
  </si>
  <si>
    <t>EMP0162</t>
  </si>
  <si>
    <t>saurabh162@company.com</t>
  </si>
  <si>
    <t>9898225885</t>
  </si>
  <si>
    <t>EMP0163</t>
  </si>
  <si>
    <t>pooja163@company.com</t>
  </si>
  <si>
    <t>9892697241</t>
  </si>
  <si>
    <t>EMP0164</t>
  </si>
  <si>
    <t>kavita164@company.com</t>
  </si>
  <si>
    <t>9821427445</t>
  </si>
  <si>
    <t>EMP0165</t>
  </si>
  <si>
    <t>riya165@company.com</t>
  </si>
  <si>
    <t>9811216069</t>
  </si>
  <si>
    <t>EMP0166</t>
  </si>
  <si>
    <t>rohit166@company.com</t>
  </si>
  <si>
    <t>9891489120</t>
  </si>
  <si>
    <t>EMP0167</t>
  </si>
  <si>
    <t>simran167@company.com</t>
  </si>
  <si>
    <t>9878816392</t>
  </si>
  <si>
    <t>EMP0168</t>
  </si>
  <si>
    <t>ankit168@company.com</t>
  </si>
  <si>
    <t>9866895770</t>
  </si>
  <si>
    <t>EMP0169</t>
  </si>
  <si>
    <t>ankit169@company.com</t>
  </si>
  <si>
    <t>9825991933</t>
  </si>
  <si>
    <t>EMP0170</t>
  </si>
  <si>
    <t>priya170@company.com</t>
  </si>
  <si>
    <t>9884678754</t>
  </si>
  <si>
    <t>EMP0171</t>
  </si>
  <si>
    <t>vikas171@company.com</t>
  </si>
  <si>
    <t>9819269504</t>
  </si>
  <si>
    <t>EMP0172</t>
  </si>
  <si>
    <t>simran172@company.com</t>
  </si>
  <si>
    <t>9839375487</t>
  </si>
  <si>
    <t>EMP0173</t>
  </si>
  <si>
    <t>rohit173@company.com</t>
  </si>
  <si>
    <t>9813675257</t>
  </si>
  <si>
    <t>EMP0174</t>
  </si>
  <si>
    <t>kavita174@company.com</t>
  </si>
  <si>
    <t>9860436259</t>
  </si>
  <si>
    <t>EMP0175</t>
  </si>
  <si>
    <t>simran175@company.com</t>
  </si>
  <si>
    <t>9820802156</t>
  </si>
  <si>
    <t>EMP0176</t>
  </si>
  <si>
    <t>kavita176@company.com</t>
  </si>
  <si>
    <t>9880589612</t>
  </si>
  <si>
    <t>EMP0177</t>
  </si>
  <si>
    <t>ankit177@company.com</t>
  </si>
  <si>
    <t>9878270467</t>
  </si>
  <si>
    <t>EMP0178</t>
  </si>
  <si>
    <t>neha178@company.com</t>
  </si>
  <si>
    <t>9877106832</t>
  </si>
  <si>
    <t>EMP0179</t>
  </si>
  <si>
    <t>vikas179@company.com</t>
  </si>
  <si>
    <t>9856650505</t>
  </si>
  <si>
    <t>EMP0180</t>
  </si>
  <si>
    <t>sneha180@company.com</t>
  </si>
  <si>
    <t>9874246470</t>
  </si>
  <si>
    <t>EMP0181</t>
  </si>
  <si>
    <t>neha181@company.com</t>
  </si>
  <si>
    <t>9824668551</t>
  </si>
  <si>
    <t>EMP0182</t>
  </si>
  <si>
    <t>sneha182@company.com</t>
  </si>
  <si>
    <t>9845826374</t>
  </si>
  <si>
    <t>EMP0183</t>
  </si>
  <si>
    <t>sneha183@company.com</t>
  </si>
  <si>
    <t>9828757494</t>
  </si>
  <si>
    <t>EMP0184</t>
  </si>
  <si>
    <t>pooja184@company.com</t>
  </si>
  <si>
    <t>9825638057</t>
  </si>
  <si>
    <t>EMP0185</t>
  </si>
  <si>
    <t>ankit185@company.com</t>
  </si>
  <si>
    <t>9891886441</t>
  </si>
  <si>
    <t>EMP0186</t>
  </si>
  <si>
    <t>riya186@company.com</t>
  </si>
  <si>
    <t>9865463852</t>
  </si>
  <si>
    <t>EMP0187</t>
  </si>
  <si>
    <t>aditya187@company.com</t>
  </si>
  <si>
    <t>9844033835</t>
  </si>
  <si>
    <t>EMP0188</t>
  </si>
  <si>
    <t>riya188@company.com</t>
  </si>
  <si>
    <t>9897792412</t>
  </si>
  <si>
    <t>EMP0189</t>
  </si>
  <si>
    <t>riya189@company.com</t>
  </si>
  <si>
    <t>9822561292</t>
  </si>
  <si>
    <t>EMP0190</t>
  </si>
  <si>
    <t>saurabh190@company.com</t>
  </si>
  <si>
    <t>9883971243</t>
  </si>
  <si>
    <t>EMP0191</t>
  </si>
  <si>
    <t>vikas191@company.com</t>
  </si>
  <si>
    <t>9842669255</t>
  </si>
  <si>
    <t>EMP0192</t>
  </si>
  <si>
    <t>rahul192@company.com</t>
  </si>
  <si>
    <t>9848531857</t>
  </si>
  <si>
    <t>EMP0193</t>
  </si>
  <si>
    <t>riya193@company.com</t>
  </si>
  <si>
    <t>9885829390</t>
  </si>
  <si>
    <t>EMP0194</t>
  </si>
  <si>
    <t>priya194@company.com</t>
  </si>
  <si>
    <t>9889215944</t>
  </si>
  <si>
    <t>EMP0195</t>
  </si>
  <si>
    <t>sneha195@company.com</t>
  </si>
  <si>
    <t>9859145034</t>
  </si>
  <si>
    <t>EMP0196</t>
  </si>
  <si>
    <t>priya196@company.com</t>
  </si>
  <si>
    <t>9885702750</t>
  </si>
  <si>
    <t>EMP0197</t>
  </si>
  <si>
    <t>simran197@company.com</t>
  </si>
  <si>
    <t>9849931747</t>
  </si>
  <si>
    <t>EMP0198</t>
  </si>
  <si>
    <t>sneha198@company.com</t>
  </si>
  <si>
    <t>9824402000</t>
  </si>
  <si>
    <t>EMP0199</t>
  </si>
  <si>
    <t>rohit199@company.com</t>
  </si>
  <si>
    <t>9882378036</t>
  </si>
  <si>
    <t>EMP0200</t>
  </si>
  <si>
    <t>riya200@company.com</t>
  </si>
  <si>
    <t>9827686196</t>
  </si>
  <si>
    <t>EMP0201</t>
  </si>
  <si>
    <t>aditya201@company.com</t>
  </si>
  <si>
    <t>9883256272</t>
  </si>
  <si>
    <t>EMP0202</t>
  </si>
  <si>
    <t>pooja202@company.com</t>
  </si>
  <si>
    <t>9898430127</t>
  </si>
  <si>
    <t>EMP0203</t>
  </si>
  <si>
    <t>saurabh203@company.com</t>
  </si>
  <si>
    <t>9826528095</t>
  </si>
  <si>
    <t>EMP0204</t>
  </si>
  <si>
    <t>rohit204@company.com</t>
  </si>
  <si>
    <t>9890825129</t>
  </si>
  <si>
    <t>EMP0205</t>
  </si>
  <si>
    <t>pooja205@company.com</t>
  </si>
  <si>
    <t>9866879032</t>
  </si>
  <si>
    <t>EMP0206</t>
  </si>
  <si>
    <t>nisha206@company.com</t>
  </si>
  <si>
    <t>9815294705</t>
  </si>
  <si>
    <t>EMP0207</t>
  </si>
  <si>
    <t>amit207@company.com</t>
  </si>
  <si>
    <t>9837007626</t>
  </si>
  <si>
    <t>EMP0208</t>
  </si>
  <si>
    <t>kavita208@company.com</t>
  </si>
  <si>
    <t>9856474540</t>
  </si>
  <si>
    <t>EMP0209</t>
  </si>
  <si>
    <t>rahul209@company.com</t>
  </si>
  <si>
    <t>9870544296</t>
  </si>
  <si>
    <t>EMP0210</t>
  </si>
  <si>
    <t>neha210@company.com</t>
  </si>
  <si>
    <t>9886837268</t>
  </si>
  <si>
    <t>EMP0211</t>
  </si>
  <si>
    <t>neha211@company.com</t>
  </si>
  <si>
    <t>9855092831</t>
  </si>
  <si>
    <t>EMP0212</t>
  </si>
  <si>
    <t>pooja212@company.com</t>
  </si>
  <si>
    <t>9895329475</t>
  </si>
  <si>
    <t>EMP0213</t>
  </si>
  <si>
    <t>sneha213@company.com</t>
  </si>
  <si>
    <t>9892246265</t>
  </si>
  <si>
    <t>EMP0214</t>
  </si>
  <si>
    <t>pooja214@company.com</t>
  </si>
  <si>
    <t>9813780920</t>
  </si>
  <si>
    <t>EMP0215</t>
  </si>
  <si>
    <t>saurabh215@company.com</t>
  </si>
  <si>
    <t>9841467875</t>
  </si>
  <si>
    <t>EMP0216</t>
  </si>
  <si>
    <t>neha216@company.com</t>
  </si>
  <si>
    <t>9851814397</t>
  </si>
  <si>
    <t>EMP0217</t>
  </si>
  <si>
    <t>pooja217@company.com</t>
  </si>
  <si>
    <t>9829406425</t>
  </si>
  <si>
    <t>EMP0218</t>
  </si>
  <si>
    <t>priya218@company.com</t>
  </si>
  <si>
    <t>9835568406</t>
  </si>
  <si>
    <t>EMP0219</t>
  </si>
  <si>
    <t>nisha219@company.com</t>
  </si>
  <si>
    <t>9829353373</t>
  </si>
  <si>
    <t>EMP0220</t>
  </si>
  <si>
    <t>saurabh220@company.com</t>
  </si>
  <si>
    <t>9881460711</t>
  </si>
  <si>
    <t>EMP0221</t>
  </si>
  <si>
    <t>amit221@company.com</t>
  </si>
  <si>
    <t>9898572287</t>
  </si>
  <si>
    <t>EMP0222</t>
  </si>
  <si>
    <t>nisha222@company.com</t>
  </si>
  <si>
    <t>9885579381</t>
  </si>
  <si>
    <t>EMP0223</t>
  </si>
  <si>
    <t>pooja223@company.com</t>
  </si>
  <si>
    <t>9896378108</t>
  </si>
  <si>
    <t>EMP0224</t>
  </si>
  <si>
    <t>karan224@company.com</t>
  </si>
  <si>
    <t>9828691377</t>
  </si>
  <si>
    <t>EMP0225</t>
  </si>
  <si>
    <t>simran225@company.com</t>
  </si>
  <si>
    <t>9828606071</t>
  </si>
  <si>
    <t>EMP0226</t>
  </si>
  <si>
    <t>rohit226@company.com</t>
  </si>
  <si>
    <t>9819555679</t>
  </si>
  <si>
    <t>EMP0227</t>
  </si>
  <si>
    <t>priya227@company.com</t>
  </si>
  <si>
    <t>9878065376</t>
  </si>
  <si>
    <t>EMP0228</t>
  </si>
  <si>
    <t>kavita228@company.com</t>
  </si>
  <si>
    <t>9867462537</t>
  </si>
  <si>
    <t>EMP0229</t>
  </si>
  <si>
    <t>neha229@company.com</t>
  </si>
  <si>
    <t>9850684210</t>
  </si>
  <si>
    <t>EMP0230</t>
  </si>
  <si>
    <t>ankit230@company.com</t>
  </si>
  <si>
    <t>9813926053</t>
  </si>
  <si>
    <t>EMP0231</t>
  </si>
  <si>
    <t>amit231@company.com</t>
  </si>
  <si>
    <t>9841789105</t>
  </si>
  <si>
    <t>EMP0232</t>
  </si>
  <si>
    <t>ankit232@company.com</t>
  </si>
  <si>
    <t>9827768770</t>
  </si>
  <si>
    <t>EMP0233</t>
  </si>
  <si>
    <t>neha233@company.com</t>
  </si>
  <si>
    <t>9818646365</t>
  </si>
  <si>
    <t>EMP0234</t>
  </si>
  <si>
    <t>sneha234@company.com</t>
  </si>
  <si>
    <t>9853330922</t>
  </si>
  <si>
    <t>EMP0235</t>
  </si>
  <si>
    <t>pooja235@company.com</t>
  </si>
  <si>
    <t>9861703750</t>
  </si>
  <si>
    <t>EMP0236</t>
  </si>
  <si>
    <t>neha236@company.com</t>
  </si>
  <si>
    <t>9887006173</t>
  </si>
  <si>
    <t>EMP0237</t>
  </si>
  <si>
    <t>riya237@company.com</t>
  </si>
  <si>
    <t>9816818998</t>
  </si>
  <si>
    <t>EMP0238</t>
  </si>
  <si>
    <t>ankit238@company.com</t>
  </si>
  <si>
    <t>9866438759</t>
  </si>
  <si>
    <t>EMP0239</t>
  </si>
  <si>
    <t>rohit239@company.com</t>
  </si>
  <si>
    <t>9854490222</t>
  </si>
  <si>
    <t>EMP0240</t>
  </si>
  <si>
    <t>rohit240@company.com</t>
  </si>
  <si>
    <t>9836107759</t>
  </si>
  <si>
    <t>EMP0241</t>
  </si>
  <si>
    <t>nisha241@company.com</t>
  </si>
  <si>
    <t>9840605963</t>
  </si>
  <si>
    <t>EMP0242</t>
  </si>
  <si>
    <t>nisha242@company.com</t>
  </si>
  <si>
    <t>9818363789</t>
  </si>
  <si>
    <t>EMP0243</t>
  </si>
  <si>
    <t>priya243@company.com</t>
  </si>
  <si>
    <t>9856636466</t>
  </si>
  <si>
    <t>EMP0244</t>
  </si>
  <si>
    <t>karan244@company.com</t>
  </si>
  <si>
    <t>9896813838</t>
  </si>
  <si>
    <t>EMP0245</t>
  </si>
  <si>
    <t>rohit245@company.com</t>
  </si>
  <si>
    <t>9824490151</t>
  </si>
  <si>
    <t>EMP0246</t>
  </si>
  <si>
    <t>priya246@company.com</t>
  </si>
  <si>
    <t>9842026739</t>
  </si>
  <si>
    <t>EMP0247</t>
  </si>
  <si>
    <t>riya247@company.com</t>
  </si>
  <si>
    <t>9892307964</t>
  </si>
  <si>
    <t>EMP0248</t>
  </si>
  <si>
    <t>riya248@company.com</t>
  </si>
  <si>
    <t>9839353828</t>
  </si>
  <si>
    <t>EMP0249</t>
  </si>
  <si>
    <t>rahul249@company.com</t>
  </si>
  <si>
    <t>9841519346</t>
  </si>
  <si>
    <t>EMP0250</t>
  </si>
  <si>
    <t>simran250@company.com</t>
  </si>
  <si>
    <t>9830675379</t>
  </si>
  <si>
    <t>Customer_ID</t>
  </si>
  <si>
    <t>Customer_Name</t>
  </si>
  <si>
    <t>Product_ID</t>
  </si>
  <si>
    <t>Product_Name</t>
  </si>
  <si>
    <t>Category</t>
  </si>
  <si>
    <t>Sales_Rep</t>
  </si>
  <si>
    <t>Quantity</t>
  </si>
  <si>
    <t>Unit_Price</t>
  </si>
  <si>
    <t>Sales_Amount</t>
  </si>
  <si>
    <t>Cost</t>
  </si>
  <si>
    <t>Profit</t>
  </si>
  <si>
    <t>Discount_%</t>
  </si>
  <si>
    <t>Payment_Mode</t>
  </si>
  <si>
    <t>Delivery_Status</t>
  </si>
  <si>
    <t>Customer_Rating</t>
  </si>
  <si>
    <t>Customer_Type</t>
  </si>
  <si>
    <t>CUST1001</t>
  </si>
  <si>
    <t>Arjun</t>
  </si>
  <si>
    <t>P102</t>
  </si>
  <si>
    <t>Mobile</t>
  </si>
  <si>
    <t>Electronics</t>
  </si>
  <si>
    <t>UPI</t>
  </si>
  <si>
    <t>Cancelled</t>
  </si>
  <si>
    <t>Corporate</t>
  </si>
  <si>
    <t>CUST1002</t>
  </si>
  <si>
    <t>Sonal</t>
  </si>
  <si>
    <t>P101</t>
  </si>
  <si>
    <t>Laptop</t>
  </si>
  <si>
    <t>CUST1003</t>
  </si>
  <si>
    <t>Rakesh</t>
  </si>
  <si>
    <t>Net Banking</t>
  </si>
  <si>
    <t>Returned</t>
  </si>
  <si>
    <t>CUST1004</t>
  </si>
  <si>
    <t>Pallavi</t>
  </si>
  <si>
    <t>Delivered</t>
  </si>
  <si>
    <t>CUST1005</t>
  </si>
  <si>
    <t>CUST1006</t>
  </si>
  <si>
    <t>Retail</t>
  </si>
  <si>
    <t>CUST1007</t>
  </si>
  <si>
    <t>P103</t>
  </si>
  <si>
    <t>Printer</t>
  </si>
  <si>
    <t>Card</t>
  </si>
  <si>
    <t>Pending</t>
  </si>
  <si>
    <t>CUST1008</t>
  </si>
  <si>
    <t>Manoj</t>
  </si>
  <si>
    <t>CUST1009</t>
  </si>
  <si>
    <t>P104</t>
  </si>
  <si>
    <t>Chair</t>
  </si>
  <si>
    <t>Furniture</t>
  </si>
  <si>
    <t>CUST1010</t>
  </si>
  <si>
    <t>Mohit</t>
  </si>
  <si>
    <t>Cash</t>
  </si>
  <si>
    <t>CUST1011</t>
  </si>
  <si>
    <t>P106</t>
  </si>
  <si>
    <t>Tablet</t>
  </si>
  <si>
    <t>CUST1012</t>
  </si>
  <si>
    <t>CUST1013</t>
  </si>
  <si>
    <t>CUST1014</t>
  </si>
  <si>
    <t>CUST1015</t>
  </si>
  <si>
    <t>CUST1016</t>
  </si>
  <si>
    <t>Divya</t>
  </si>
  <si>
    <t>CUST1017</t>
  </si>
  <si>
    <t>Ritu</t>
  </si>
  <si>
    <t>CUST1018</t>
  </si>
  <si>
    <t>Kiran</t>
  </si>
  <si>
    <t>P105</t>
  </si>
  <si>
    <t>Desk</t>
  </si>
  <si>
    <t>CUST1019</t>
  </si>
  <si>
    <t>CUST1020</t>
  </si>
  <si>
    <t>CUST1021</t>
  </si>
  <si>
    <t>CUST1022</t>
  </si>
  <si>
    <t>CUST1023</t>
  </si>
  <si>
    <t>CUST1024</t>
  </si>
  <si>
    <t>Vivek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</si>
  <si>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</si>
  <si>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</si>
  <si>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</si>
  <si>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</si>
  <si>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</si>
  <si>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</si>
  <si>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</si>
  <si>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</si>
  <si>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</si>
  <si>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Akash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</si>
  <si>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</si>
  <si>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</si>
  <si>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</si>
  <si>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</si>
  <si>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</si>
  <si>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</si>
  <si>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</si>
  <si>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</si>
  <si>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</si>
  <si>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</si>
  <si>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</si>
  <si>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</si>
  <si>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</si>
  <si>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</si>
  <si>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</si>
  <si>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</si>
  <si>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</si>
  <si>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</si>
  <si>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</si>
  <si>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</si>
  <si>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</si>
  <si>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</si>
  <si>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</si>
  <si>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</si>
  <si>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</si>
  <si>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</si>
  <si>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</si>
  <si>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</si>
  <si>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</si>
  <si>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</si>
  <si>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</si>
  <si>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</si>
  <si>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</si>
  <si>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</si>
  <si>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Anjali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</si>
  <si>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</si>
  <si>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</si>
  <si>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</si>
  <si>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</si>
  <si>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</si>
  <si>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</si>
  <si>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</si>
  <si>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</si>
  <si>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</si>
  <si>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</si>
  <si>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</si>
  <si>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</si>
  <si>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</si>
  <si>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</si>
  <si>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</si>
  <si>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</si>
  <si>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</si>
  <si>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</si>
  <si>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</si>
  <si>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</si>
  <si>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</si>
  <si>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</si>
  <si>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</si>
  <si>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</si>
  <si>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</si>
  <si>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</si>
  <si>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</si>
  <si>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</si>
  <si>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</si>
  <si>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</si>
  <si>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</si>
  <si>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</si>
  <si>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</si>
  <si>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</si>
  <si>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</si>
  <si>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</si>
  <si>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</si>
  <si>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</si>
  <si>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</si>
  <si>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</si>
  <si>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</si>
  <si>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</si>
  <si>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</si>
  <si>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</si>
  <si>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</si>
  <si>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</si>
  <si>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</si>
  <si>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</si>
  <si>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</si>
  <si>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</si>
  <si>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</si>
  <si>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</si>
  <si>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</si>
  <si>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</si>
  <si>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</si>
  <si>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</si>
  <si>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</si>
  <si>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</si>
  <si>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</si>
  <si>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</si>
  <si>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</si>
  <si>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</si>
  <si>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</si>
  <si>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</si>
  <si>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</si>
  <si>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</si>
  <si>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</si>
  <si>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</si>
  <si>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</si>
  <si>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</si>
  <si>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</si>
  <si>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</si>
  <si>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</si>
  <si>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</si>
  <si>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</si>
  <si>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</si>
  <si>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</si>
  <si>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</si>
  <si>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</si>
  <si>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</si>
  <si>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</si>
  <si>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</si>
  <si>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</si>
  <si>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</si>
  <si>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</si>
  <si>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</si>
  <si>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</si>
  <si>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</si>
  <si>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</si>
  <si>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</si>
  <si>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</si>
  <si>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</si>
  <si>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</si>
  <si>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</si>
  <si>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</si>
  <si>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</si>
  <si>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</si>
  <si>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</si>
  <si>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</si>
  <si>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</si>
  <si>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</si>
  <si>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</si>
  <si>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</si>
  <si>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</si>
  <si>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</si>
  <si>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</si>
  <si>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</si>
  <si>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</si>
  <si>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</si>
  <si>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</si>
  <si>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</si>
  <si>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</si>
  <si>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</si>
  <si>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</si>
  <si>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</si>
  <si>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</si>
  <si>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</si>
  <si>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</si>
  <si>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</si>
  <si>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</si>
  <si>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</si>
  <si>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</si>
  <si>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</si>
  <si>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</si>
  <si>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</si>
  <si>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</si>
  <si>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</si>
  <si>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</si>
  <si>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</si>
  <si>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</si>
  <si>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</si>
  <si>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</si>
  <si>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</si>
  <si>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</si>
  <si>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</si>
  <si>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</si>
  <si>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</si>
  <si>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</si>
  <si>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</si>
  <si>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</si>
  <si>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</si>
  <si>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</si>
  <si>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</si>
  <si>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</si>
  <si>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</si>
  <si>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</si>
  <si>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</si>
  <si>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</si>
  <si>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</si>
  <si>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</si>
  <si>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</si>
  <si>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</si>
  <si>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</si>
  <si>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</si>
  <si>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</si>
  <si>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</si>
  <si>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</si>
  <si>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</si>
  <si>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</si>
  <si>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</si>
  <si>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</si>
  <si>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</si>
  <si>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</si>
  <si>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</si>
  <si>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</si>
  <si>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</si>
  <si>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</si>
  <si>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</si>
  <si>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</si>
  <si>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</si>
  <si>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</si>
  <si>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</si>
  <si>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</si>
  <si>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</si>
  <si>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</si>
  <si>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</si>
  <si>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</si>
  <si>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</si>
  <si>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</si>
  <si>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</si>
  <si>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</si>
  <si>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</si>
  <si>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</si>
  <si>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Monthly Sales Table (Sample data for HLOOKUP practice — Sales_Rep: Rahul)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</si>
  <si>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</si>
  <si>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</si>
  <si>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</si>
  <si>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</si>
  <si>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</si>
  <si>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</si>
  <si>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</si>
  <si>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</si>
  <si>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</si>
  <si>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</si>
  <si>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</si>
  <si>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</si>
  <si>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</si>
  <si>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Horizontal Product List (Sample data for TRANSPOSE — Q36)</t>
  </si>
  <si>
    <t>Level</t>
  </si>
  <si>
    <t>Q#</t>
  </si>
  <si>
    <t>Question</t>
  </si>
  <si>
    <t>Function Used</t>
  </si>
  <si>
    <t>Input</t>
  </si>
  <si>
    <t>Formula (reference)</t>
  </si>
  <si>
    <t>Result</t>
  </si>
  <si>
    <t>LEVEL 1 - VLOOKUP (Employee_Master)</t>
  </si>
  <si>
    <t>Q1</t>
  </si>
  <si>
    <t>Find the Employee Name using Employee ID</t>
  </si>
  <si>
    <t>VLOOKUP</t>
  </si>
  <si>
    <t>'=VLOOKUP(E3,Employee_Master!A:T,2,FALSE)</t>
  </si>
  <si>
    <t>Q2</t>
  </si>
  <si>
    <t>Find the Department using Employee ID</t>
  </si>
  <si>
    <t>'=VLOOKUP(E4,Employee_Master!A:T,3,FALSE)</t>
  </si>
  <si>
    <t>Q3</t>
  </si>
  <si>
    <t>Find the Designation using Employee ID</t>
  </si>
  <si>
    <t>'=VLOOKUP(E5,Employee_Master!A:T,4,FALSE)</t>
  </si>
  <si>
    <t>Q4</t>
  </si>
  <si>
    <t>Find the Manager using Employee ID</t>
  </si>
  <si>
    <t>'=VLOOKUP(E6,Employee_Master!A:T,5,FALSE)</t>
  </si>
  <si>
    <t>Q5</t>
  </si>
  <si>
    <t>Find the Branch using Employee ID</t>
  </si>
  <si>
    <t>'=VLOOKUP(E7,Employee_Master!A:T,6,FALSE)</t>
  </si>
  <si>
    <t>Q6</t>
  </si>
  <si>
    <t>Find the Region using Employee ID</t>
  </si>
  <si>
    <t>'=VLOOKUP(E8,Employee_Master!A:T,7,FALSE)</t>
  </si>
  <si>
    <t>Q7</t>
  </si>
  <si>
    <t>Find the Salary using Employee ID</t>
  </si>
  <si>
    <t>'=VLOOKUP(E9,Employee_Master!A:T,13,FALSE)</t>
  </si>
  <si>
    <t>Q8</t>
  </si>
  <si>
    <t>Find the Bonus using Employee ID</t>
  </si>
  <si>
    <t>'=VLOOKUP(E10,Employee_Master!A:T,14,FALSE)</t>
  </si>
  <si>
    <t>Q9</t>
  </si>
  <si>
    <t>Find the Rating using Employee ID</t>
  </si>
  <si>
    <t>'=VLOOKUP(E11,Employee_Master!A:T,15,FALSE)</t>
  </si>
  <si>
    <t>Q10</t>
  </si>
  <si>
    <t>Employee Report: enter Employee ID -&gt; auto-displays full profile below</t>
  </si>
  <si>
    <t>'=VLOOKUP(E12,Employee_Master!A:T,2,FALSE)</t>
  </si>
  <si>
    <t xml:space="preserve">   -&gt; Department</t>
  </si>
  <si>
    <t>'=VLOOKUP(E12,Employee_Master!A:T,3,FALSE)</t>
  </si>
  <si>
    <t xml:space="preserve">   -&gt; Designation</t>
  </si>
  <si>
    <t>'=VLOOKUP(E12,Employee_Master!A:T,4,FALSE)</t>
  </si>
  <si>
    <t xml:space="preserve">   -&gt; Manager</t>
  </si>
  <si>
    <t>'=VLOOKUP(E12,Employee_Master!A:T,5,FALSE)</t>
  </si>
  <si>
    <t xml:space="preserve">   -&gt; Branch</t>
  </si>
  <si>
    <t>'=VLOOKUP(E12,Employee_Master!A:T,6,FALSE)</t>
  </si>
  <si>
    <t xml:space="preserve">   -&gt; Region</t>
  </si>
  <si>
    <t>'=VLOOKUP(E12,Employee_Master!A:T,7,FALSE)</t>
  </si>
  <si>
    <t xml:space="preserve">   -&gt; Salary</t>
  </si>
  <si>
    <t>'=VLOOKUP(E12,Employee_Master!A:T,13,FALSE)</t>
  </si>
  <si>
    <t xml:space="preserve">   -&gt; Bonus</t>
  </si>
  <si>
    <t>'=VLOOKUP(E12,Employee_Master!A:T,14,FALSE)</t>
  </si>
  <si>
    <t xml:space="preserve">   -&gt; Rating</t>
  </si>
  <si>
    <t>'=VLOOKUP(E12,Employee_Master!A:T,15,FALSE)</t>
  </si>
  <si>
    <t xml:space="preserve">   -&gt; Status</t>
  </si>
  <si>
    <t>'=VLOOKUP(E12,Employee_Master!A:T,16,FALSE)</t>
  </si>
  <si>
    <t>LEVEL 2 - XLOOKUP (Sales_Data)</t>
  </si>
  <si>
    <t>Q11</t>
  </si>
  <si>
    <t>Find the Customer Name using Customer ID</t>
  </si>
  <si>
    <t>XLOOKUP</t>
  </si>
  <si>
    <t>'=XLOOKUP(E23,Sales_Data!A:A,Sales_Data!B:B)</t>
  </si>
  <si>
    <t>Q12</t>
  </si>
  <si>
    <t>Find the Product Name using Product ID</t>
  </si>
  <si>
    <t>'=XLOOKUP(E24,Sales_Data!C:C,Sales_Data!D:D)</t>
  </si>
  <si>
    <t>Q13</t>
  </si>
  <si>
    <t>Find the Category using Product ID</t>
  </si>
  <si>
    <t>'=XLOOKUP(E25,Sales_Data!C:C,Sales_Data!E:E)</t>
  </si>
  <si>
    <t>Q14</t>
  </si>
  <si>
    <t>Find the Sales Amount using Order ID (Customer_ID used as row key - no Order_ID column in dataset)</t>
  </si>
  <si>
    <t>'=XLOOKUP(E26,Sales_Data!A:A,Sales_Data!K:K)</t>
  </si>
  <si>
    <t>Q15</t>
  </si>
  <si>
    <t>Find the Profit using Order ID (Customer_ID used as row key)</t>
  </si>
  <si>
    <t>'=XLOOKUP(E27,Sales_Data!A:A,Sales_Data!M:M)</t>
  </si>
  <si>
    <t>Q16</t>
  </si>
  <si>
    <t>Find the Payment Mode using Order ID (Customer_ID used as row key)</t>
  </si>
  <si>
    <t>'=XLOOKUP(E28,Sales_Data!A:A,Sales_Data!O:O)</t>
  </si>
  <si>
    <t>Q17</t>
  </si>
  <si>
    <t>Find the Delivery Status using Order ID (Customer_ID used as row key)</t>
  </si>
  <si>
    <t>'=XLOOKUP(E29,Sales_Data!A:A,Sales_Data!P:P)</t>
  </si>
  <si>
    <t>Q18</t>
  </si>
  <si>
    <t>Find the Customer Rating using Customer ID</t>
  </si>
  <si>
    <t>'=XLOOKUP(E30,Sales_Data!A:A,Sales_Data!Q:Q)</t>
  </si>
  <si>
    <t>Q19</t>
  </si>
  <si>
    <t>Return "Order Not Found" if the entered Order ID (Customer_ID) does not exist</t>
  </si>
  <si>
    <t>XLOOKUP + if_not_found</t>
  </si>
  <si>
    <t>CUST9999</t>
  </si>
  <si>
    <t>'=XLOOKUP(E31,Sales_Data!A:A,Sales_Data!K:K,"Order Not Found")</t>
  </si>
  <si>
    <t>Q20</t>
  </si>
  <si>
    <t>Left Lookup: return Product ID using Product Name</t>
  </si>
  <si>
    <t>XLOOKUP (left lookup)</t>
  </si>
  <si>
    <t>'=XLOOKUP(E32,Sales_Data!D:D,Sales_Data!C:C)</t>
  </si>
  <si>
    <t>LEVEL 3 - INDEX + MATCH (Employee_Master)</t>
  </si>
  <si>
    <t>Q21</t>
  </si>
  <si>
    <t>INDEX+MATCH</t>
  </si>
  <si>
    <t>'=INDEX(Employee_Master!M:M,MATCH(E34,Employee_Master!A:A,0))</t>
  </si>
  <si>
    <t>Q22</t>
  </si>
  <si>
    <t>'=INDEX(Employee_Master!C:C,MATCH(E35,Employee_Master!A:A,0))</t>
  </si>
  <si>
    <t>Q23</t>
  </si>
  <si>
    <t>'=INDEX(Employee_Master!E:E,MATCH(E36,Employee_Master!A:A,0))</t>
  </si>
  <si>
    <t>Q24</t>
  </si>
  <si>
    <t>'=INDEX(Employee_Master!F:F,MATCH(E37,Employee_Master!A:A,0))</t>
  </si>
  <si>
    <t>Q25</t>
  </si>
  <si>
    <t>'=INDEX(Employee_Master!N:N,MATCH(E38,Employee_Master!A:A,0))</t>
  </si>
  <si>
    <t>Q26</t>
  </si>
  <si>
    <t>'=INDEX(Employee_Master!O:O,MATCH(E39,Employee_Master!A:A,0))</t>
  </si>
  <si>
    <t>Q27</t>
  </si>
  <si>
    <t>Find the Experience using Employee ID</t>
  </si>
  <si>
    <t>'=INDEX(Employee_Master!L:L,MATCH(E40,Employee_Master!A:A,0))</t>
  </si>
  <si>
    <t>Q28</t>
  </si>
  <si>
    <t>Find the Shift using Employee ID</t>
  </si>
  <si>
    <t>'=INDEX(Employee_Master!Q:Q,MATCH(E41,Employee_Master!A:A,0))</t>
  </si>
  <si>
    <t>Q29</t>
  </si>
  <si>
    <t>Find the Email using Employee ID</t>
  </si>
  <si>
    <t>'=INDEX(Employee_Master!S:S,MATCH(E42,Employee_Master!A:A,0))</t>
  </si>
  <si>
    <t>Q30</t>
  </si>
  <si>
    <t>INDEX+MATCH+IFERROR: return "Employee Not Found" for invalid Employee ID</t>
  </si>
  <si>
    <t>INDEX+MATCH+IFERROR</t>
  </si>
  <si>
    <t>EMP9999</t>
  </si>
  <si>
    <t>'=IFERROR(INDEX(Employee_Master!B:B,MATCH(E43,Employee_Master!A:A,0)),"Employee Not Found")</t>
  </si>
  <si>
    <t>LEVEL 4 - HLOOKUP, LOOKUP &amp; TRANSPOSE (Helper_Data)</t>
  </si>
  <si>
    <t>Q31</t>
  </si>
  <si>
    <t>HLOOKUP: retrieve January Sales from horizontal table</t>
  </si>
  <si>
    <t>HLOOKUP</t>
  </si>
  <si>
    <t>'=HLOOKUP(E45,Helper_Data!A3:M4,2,FALSE)</t>
  </si>
  <si>
    <t>Q32</t>
  </si>
  <si>
    <t>HLOOKUP: retrieve March Sales from horizontal table</t>
  </si>
  <si>
    <t>'=HLOOKUP(E46,Helper_Data!A3:M4,2,FALSE)</t>
  </si>
  <si>
    <t>Q33</t>
  </si>
  <si>
    <t>LOOKUP: return Employee Name using Employee ID</t>
  </si>
  <si>
    <t>LOOKUP</t>
  </si>
  <si>
    <t>'=LOOKUP(E47,Employee_Master!A:A,Employee_Master!B:B)</t>
  </si>
  <si>
    <t>Q34</t>
  </si>
  <si>
    <t>LOOKUP: return Salary using Employee ID</t>
  </si>
  <si>
    <t>'=LOOKUP(E48,Employee_Master!A:A,Employee_Master!M:M)</t>
  </si>
  <si>
    <t>Q35</t>
  </si>
  <si>
    <t>Convert a Vertical Employee List into a Horizontal List using TRANSPOSE</t>
  </si>
  <si>
    <t>TRANSPOSE</t>
  </si>
  <si>
    <t>'=TRANSPOSE(Employee_Master!B2:B11)</t>
  </si>
  <si>
    <t>Q36</t>
  </si>
  <si>
    <t>Convert a Horizontal Product List into a Vertical List</t>
  </si>
  <si>
    <t>'=TRANSPOSE(Helper_Data!B8:G8)</t>
  </si>
  <si>
    <t>Q37</t>
  </si>
  <si>
    <t>Transpose the first 10 Employee IDs</t>
  </si>
  <si>
    <t>'=TRANSPOSE(Employee_Master!A2:A11)</t>
  </si>
  <si>
    <t>Q38</t>
  </si>
  <si>
    <t>Transpose the first 10 Product IDs</t>
  </si>
  <si>
    <t>'=TRANSPOSE(Sales_Data!C2:C11)</t>
  </si>
  <si>
    <t>Q39</t>
  </si>
  <si>
    <t>Transpose the first 10 Customer IDs</t>
  </si>
  <si>
    <t>'=TRANSPOSE(Sales_Data!A2:A11)</t>
  </si>
  <si>
    <t>Q40</t>
  </si>
  <si>
    <t>Transpose the first 10 Branch Names</t>
  </si>
  <si>
    <t>'=TRANSPOSE(Employee_Master!F2:F11)</t>
  </si>
  <si>
    <t>LEVEL 5 - ROW, ROWS, COLUMN, COLUMNS &amp; IFERROR</t>
  </si>
  <si>
    <t>Q41</t>
  </si>
  <si>
    <t>Find the Row Number of an Employee ID</t>
  </si>
  <si>
    <t>ROW+MATCH</t>
  </si>
  <si>
    <t>'=ROW(INDEX(Employee_Master!A:A,MATCH(E56,Employee_Master!A:A,0)))</t>
  </si>
  <si>
    <t>Q42</t>
  </si>
  <si>
    <t>Find the Column Number of the Salary column</t>
  </si>
  <si>
    <t>COLUMN</t>
  </si>
  <si>
    <t>'=COLUMN(Employee_Master!M1)</t>
  </si>
  <si>
    <t>Q43</t>
  </si>
  <si>
    <t>Count the Total Rows in the Employee Master dataset</t>
  </si>
  <si>
    <t>ROWS</t>
  </si>
  <si>
    <t>'=ROWS(Employee_Master!A2:A251)</t>
  </si>
  <si>
    <t>Q44</t>
  </si>
  <si>
    <t>Count the Total Columns in the Sales Master dataset</t>
  </si>
  <si>
    <t>COLUMNS</t>
  </si>
  <si>
    <t>'=COLUMNS(Sales_Data!A1:R1)</t>
  </si>
  <si>
    <t>Q45</t>
  </si>
  <si>
    <t>IFERROR with VLOOKUP (invalid Employee ID test)</t>
  </si>
  <si>
    <t>IFERROR+VLOOKUP</t>
  </si>
  <si>
    <t>'=IFERROR(VLOOKUP(E60,Employee_Master!A:T,2,FALSE),"Not Found")</t>
  </si>
  <si>
    <t>Q46</t>
  </si>
  <si>
    <t>IFERROR with XLOOKUP (invalid Customer ID test)</t>
  </si>
  <si>
    <t>IFERROR+XLOOKUP</t>
  </si>
  <si>
    <t>'=IFERROR(XLOOKUP(E61,Sales_Data!A:A,Sales_Data!B:B),"Not Found")</t>
  </si>
  <si>
    <t>Q47</t>
  </si>
  <si>
    <t>IFERROR with INDEX+MATCH (invalid Employee ID test)</t>
  </si>
  <si>
    <t>IFERROR+INDEX+MATCH</t>
  </si>
  <si>
    <t>'=IFERROR(INDEX(Employee_Master!C:C,MATCH(E62,Employee_Master!A:A,0)),"Not Found")</t>
  </si>
  <si>
    <t>Q48</t>
  </si>
  <si>
    <t>Display "No Data Available" if a Product ID does not exist</t>
  </si>
  <si>
    <t>P999</t>
  </si>
  <si>
    <t>'=IFERROR(XLOOKUP(E63,Sales_Data!C:C,Sales_Data!D:D),"No Data Available")</t>
  </si>
  <si>
    <t>Q49</t>
  </si>
  <si>
    <t>Display "Customer Not Found" if a Customer ID does not exist</t>
  </si>
  <si>
    <t>'=IFERROR(XLOOKUP(E64,Sales_Data!A:A,Sales_Data!B:B),"Customer Not Found")</t>
  </si>
  <si>
    <t>Q50</t>
  </si>
  <si>
    <t>Dynamic Employee Lookup Dashboard: enter Employee ID -&gt; full profile below</t>
  </si>
  <si>
    <t>'=XLOOKUP(E65,Employee_Master!A:A,Employee_Master!B:B,"Employee Not Found")</t>
  </si>
  <si>
    <t>'=XLOOKUP(E65,Employee_Master!A:A,Employee_Master!C:C,"Employee Not Found")</t>
  </si>
  <si>
    <t>'=XLOOKUP(E65,Employee_Master!A:A,Employee_Master!D:D,"Employee Not Found")</t>
  </si>
  <si>
    <t>'=XLOOKUP(E65,Employee_Master!A:A,Employee_Master!E:E,"Employee Not Found")</t>
  </si>
  <si>
    <t>'=XLOOKUP(E65,Employee_Master!A:A,Employee_Master!F:F,"Employee Not Found")</t>
  </si>
  <si>
    <t>'=XLOOKUP(E65,Employee_Master!A:A,Employee_Master!G:G,"Employee Not Found")</t>
  </si>
  <si>
    <t>'=XLOOKUP(E65,Employee_Master!A:A,Employee_Master!M:M,"Employee Not Found")</t>
  </si>
  <si>
    <t>'=XLOOKUP(E65,Employee_Master!A:A,Employee_Master!N:N,"Employee Not Found")</t>
  </si>
  <si>
    <t>'=XLOOKUP(E65,Employee_Master!A:A,Employee_Master!O:O,"Employee Not Found")</t>
  </si>
  <si>
    <t>'=XLOOKUP(E65,Employee_Master!A:A,Employee_Master!P:P,"Employee Not Found")</t>
  </si>
  <si>
    <t xml:space="preserve">   -&gt; Shift</t>
  </si>
  <si>
    <t>'=XLOOKUP(E65,Employee_Master!A:A,Employee_Master!Q:Q,"Employee Not Found")</t>
  </si>
  <si>
    <t xml:space="preserve">   -&gt; Email</t>
  </si>
  <si>
    <t>'=XLOOKUP(E65,Employee_Master!A:A,Employee_Master!S:S,"Employee Not Found")</t>
  </si>
  <si>
    <t xml:space="preserve">   -&gt; Phone Number</t>
  </si>
  <si>
    <t>'=XLOOKUP(E65,Employee_Master!A:A,Employee_Master!T:T,"Employee Not Found")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</si>
</sst>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2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34343"/>
        <bgColor rgb="FF333300"/>
      </patternFill>
    </fill>
    <fill>
      <patternFill patternType="solid">
        <fgColor rgb="FFD9EAD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CFE2F3"/>
        <bgColor rgb="FFD9EAD3"/>
      </patternFill>
    </fill>
    <fill>
      <patternFill patternType="solid">
        <fgColor rgb="FFF4CCCC"/>
        <bgColor rgb="FFFCE5C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1"/>
  <sheetViews>
    <sheetView zoomScaleNormal="100" workbookViewId="0">
      <pane ySplit="1" topLeftCell="A248" activePane="bottomLeft" state="frozen"/>
      <selection pane="bottomLeft" activeCell="A251" sqref="A251"/>
    </sheetView>
  </sheetViews>
  <sheetFormatPr defaultColWidth="8.6640625" defaultRowHeight="14.4" x14ac:dyDescent="0.3"/>
  <cols>
    <col min="1" max="1" width="14" customWidth="1"/>
    <col min="2" max="2" width="12" customWidth="1"/>
    <col min="3" max="18" width="14" customWidth="1"/>
    <col min="19" max="19" width="22" customWidth="1"/>
    <col min="20" max="20" width="14" customWidth="1"/>
  </cols>
  <sheetData>
    <row r="1" spans="1:20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4">
        <v>43589</v>
      </c>
      <c r="L2" s="3">
        <v>3</v>
      </c>
      <c r="M2" s="3">
        <v>79411</v>
      </c>
      <c r="N2" s="3">
        <v>6640</v>
      </c>
      <c r="O2" s="3">
        <v>3.1</v>
      </c>
      <c r="P2" s="3" t="s">
        <v>30</v>
      </c>
      <c r="Q2" s="3" t="s">
        <v>31</v>
      </c>
      <c r="R2" s="3" t="s">
        <v>32</v>
      </c>
      <c r="S2" s="3" t="s">
        <v>33</v>
      </c>
      <c r="T2" s="3">
        <v>9832926554</v>
      </c>
    </row>
    <row r="3" spans="1:20" x14ac:dyDescent="0.3">
      <c r="A3" s="3" t="s">
        <v>34</v>
      </c>
      <c r="B3" s="3" t="s">
        <v>35</v>
      </c>
      <c r="C3" s="3" t="s">
        <v>36</v>
      </c>
      <c r="D3" s="3" t="s">
        <v>4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25</v>
      </c>
      <c r="J3" s="3" t="s">
        <v>41</v>
      </c>
      <c r="K3" s="4">
        <v>44081</v>
      </c>
      <c r="L3" s="3">
        <v>8</v>
      </c>
      <c r="M3" s="3">
        <v>62983</v>
      </c>
      <c r="N3" s="3">
        <v>3412</v>
      </c>
      <c r="O3" s="3">
        <v>4</v>
      </c>
      <c r="P3" s="3" t="s">
        <v>42</v>
      </c>
      <c r="Q3" s="3" t="s">
        <v>43</v>
      </c>
      <c r="R3" s="3" t="s">
        <v>32</v>
      </c>
      <c r="S3" s="3" t="s">
        <v>44</v>
      </c>
      <c r="T3" s="3" t="s">
        <v>45</v>
      </c>
    </row>
    <row r="4" spans="1:20" x14ac:dyDescent="0.3">
      <c r="A4" s="3" t="s">
        <v>46</v>
      </c>
      <c r="B4" s="3" t="s">
        <v>47</v>
      </c>
      <c r="C4" s="3" t="s">
        <v>22</v>
      </c>
      <c r="D4" s="3" t="s">
        <v>4</v>
      </c>
      <c r="E4" s="3" t="s">
        <v>48</v>
      </c>
      <c r="F4" s="3" t="s">
        <v>49</v>
      </c>
      <c r="G4" s="3" t="s">
        <v>39</v>
      </c>
      <c r="H4" s="3" t="s">
        <v>50</v>
      </c>
      <c r="I4" s="3" t="s">
        <v>38</v>
      </c>
      <c r="J4" s="3" t="s">
        <v>41</v>
      </c>
      <c r="K4" s="4">
        <v>45519</v>
      </c>
      <c r="L4" s="3">
        <v>1</v>
      </c>
      <c r="M4" s="3">
        <v>70461</v>
      </c>
      <c r="N4" s="3">
        <v>10296</v>
      </c>
      <c r="O4" s="3">
        <v>4.5</v>
      </c>
      <c r="P4" s="3" t="s">
        <v>30</v>
      </c>
      <c r="Q4" s="3" t="s">
        <v>43</v>
      </c>
      <c r="R4" s="3" t="s">
        <v>51</v>
      </c>
      <c r="S4" s="3" t="s">
        <v>52</v>
      </c>
      <c r="T4" s="3" t="s">
        <v>53</v>
      </c>
    </row>
    <row r="5" spans="1:20" x14ac:dyDescent="0.3">
      <c r="A5" s="3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25</v>
      </c>
      <c r="G5" s="3" t="s">
        <v>59</v>
      </c>
      <c r="H5" s="3" t="s">
        <v>27</v>
      </c>
      <c r="I5" s="3" t="s">
        <v>28</v>
      </c>
      <c r="J5" s="3" t="s">
        <v>41</v>
      </c>
      <c r="K5" s="4">
        <v>45078</v>
      </c>
      <c r="L5" s="3">
        <v>5</v>
      </c>
      <c r="M5" s="3">
        <v>92771</v>
      </c>
      <c r="N5" s="3">
        <v>4688</v>
      </c>
      <c r="O5" s="3">
        <v>3.8</v>
      </c>
      <c r="P5" s="3" t="s">
        <v>30</v>
      </c>
      <c r="Q5" s="3" t="s">
        <v>60</v>
      </c>
      <c r="R5" s="3" t="s">
        <v>51</v>
      </c>
      <c r="S5" s="3" t="s">
        <v>61</v>
      </c>
      <c r="T5" s="3" t="s">
        <v>62</v>
      </c>
    </row>
    <row r="6" spans="1:20" x14ac:dyDescent="0.3">
      <c r="A6" s="3" t="s">
        <v>63</v>
      </c>
      <c r="B6" s="3" t="s">
        <v>47</v>
      </c>
      <c r="C6" s="3" t="s">
        <v>56</v>
      </c>
      <c r="D6" s="3" t="s">
        <v>23</v>
      </c>
      <c r="E6" s="3" t="s">
        <v>48</v>
      </c>
      <c r="F6" s="3" t="s">
        <v>25</v>
      </c>
      <c r="G6" s="3" t="s">
        <v>26</v>
      </c>
      <c r="H6" s="3" t="s">
        <v>27</v>
      </c>
      <c r="I6" s="3" t="s">
        <v>49</v>
      </c>
      <c r="J6" s="3" t="s">
        <v>29</v>
      </c>
      <c r="K6" s="4">
        <v>43980</v>
      </c>
      <c r="L6" s="3">
        <v>1</v>
      </c>
      <c r="M6" s="3">
        <v>28926</v>
      </c>
      <c r="N6" s="3">
        <v>10207</v>
      </c>
      <c r="O6" s="3">
        <v>3.4</v>
      </c>
      <c r="P6" s="3" t="s">
        <v>30</v>
      </c>
      <c r="Q6" s="3" t="s">
        <v>31</v>
      </c>
      <c r="R6" s="3" t="s">
        <v>64</v>
      </c>
      <c r="S6" s="3" t="s">
        <v>65</v>
      </c>
      <c r="T6" s="3" t="s">
        <v>66</v>
      </c>
    </row>
    <row r="7" spans="1:20" x14ac:dyDescent="0.3">
      <c r="A7" s="3" t="s">
        <v>67</v>
      </c>
      <c r="B7" s="3" t="s">
        <v>68</v>
      </c>
      <c r="C7" s="3" t="s">
        <v>69</v>
      </c>
      <c r="D7" s="3" t="s">
        <v>70</v>
      </c>
      <c r="E7" s="3" t="s">
        <v>48</v>
      </c>
      <c r="F7" s="3" t="s">
        <v>38</v>
      </c>
      <c r="G7" s="3" t="s">
        <v>59</v>
      </c>
      <c r="H7" s="3" t="s">
        <v>71</v>
      </c>
      <c r="I7" s="3" t="s">
        <v>25</v>
      </c>
      <c r="J7" s="3" t="s">
        <v>29</v>
      </c>
      <c r="K7" s="4">
        <v>43954</v>
      </c>
      <c r="L7" s="3">
        <v>13</v>
      </c>
      <c r="M7" s="3">
        <v>52955</v>
      </c>
      <c r="N7" s="3">
        <v>8154</v>
      </c>
      <c r="O7" s="3">
        <v>3.1</v>
      </c>
      <c r="P7" s="3" t="s">
        <v>30</v>
      </c>
      <c r="Q7" s="3" t="s">
        <v>31</v>
      </c>
      <c r="R7" s="3" t="s">
        <v>64</v>
      </c>
      <c r="S7" s="3" t="s">
        <v>72</v>
      </c>
      <c r="T7" s="3" t="s">
        <v>73</v>
      </c>
    </row>
    <row r="8" spans="1:20" x14ac:dyDescent="0.3">
      <c r="A8" s="3" t="s">
        <v>74</v>
      </c>
      <c r="B8" s="3" t="s">
        <v>75</v>
      </c>
      <c r="C8" s="3" t="s">
        <v>36</v>
      </c>
      <c r="D8" s="3" t="s">
        <v>70</v>
      </c>
      <c r="E8" s="3" t="s">
        <v>37</v>
      </c>
      <c r="F8" s="3" t="s">
        <v>38</v>
      </c>
      <c r="G8" s="3" t="s">
        <v>26</v>
      </c>
      <c r="H8" s="3" t="s">
        <v>50</v>
      </c>
      <c r="I8" s="3" t="s">
        <v>27</v>
      </c>
      <c r="J8" s="3" t="s">
        <v>29</v>
      </c>
      <c r="K8" s="4">
        <v>45241</v>
      </c>
      <c r="L8" s="3">
        <v>5</v>
      </c>
      <c r="M8" s="3">
        <v>76889</v>
      </c>
      <c r="N8" s="3">
        <v>14375</v>
      </c>
      <c r="O8" s="3">
        <v>4.2</v>
      </c>
      <c r="P8" s="3" t="s">
        <v>42</v>
      </c>
      <c r="Q8" s="3" t="s">
        <v>31</v>
      </c>
      <c r="R8" s="3" t="s">
        <v>51</v>
      </c>
      <c r="S8" s="3" t="s">
        <v>76</v>
      </c>
      <c r="T8" s="3" t="s">
        <v>77</v>
      </c>
    </row>
    <row r="9" spans="1:20" x14ac:dyDescent="0.3">
      <c r="A9" s="3" t="s">
        <v>78</v>
      </c>
      <c r="B9" s="3" t="s">
        <v>79</v>
      </c>
      <c r="C9" s="3" t="s">
        <v>69</v>
      </c>
      <c r="D9" s="3" t="s">
        <v>57</v>
      </c>
      <c r="E9" s="3" t="s">
        <v>80</v>
      </c>
      <c r="F9" s="3" t="s">
        <v>28</v>
      </c>
      <c r="G9" s="3" t="s">
        <v>81</v>
      </c>
      <c r="H9" s="3" t="s">
        <v>71</v>
      </c>
      <c r="I9" s="3" t="s">
        <v>27</v>
      </c>
      <c r="J9" s="3" t="s">
        <v>41</v>
      </c>
      <c r="K9" s="4">
        <v>43333</v>
      </c>
      <c r="L9" s="3">
        <v>11</v>
      </c>
      <c r="M9" s="3">
        <v>33485</v>
      </c>
      <c r="N9" s="3">
        <v>13539</v>
      </c>
      <c r="O9" s="3">
        <v>3.6</v>
      </c>
      <c r="P9" s="3" t="s">
        <v>30</v>
      </c>
      <c r="Q9" s="3" t="s">
        <v>43</v>
      </c>
      <c r="R9" s="3" t="s">
        <v>32</v>
      </c>
      <c r="S9" s="3" t="s">
        <v>82</v>
      </c>
      <c r="T9" s="3" t="s">
        <v>83</v>
      </c>
    </row>
    <row r="10" spans="1:20" x14ac:dyDescent="0.3">
      <c r="A10" s="3" t="s">
        <v>84</v>
      </c>
      <c r="B10" s="3" t="s">
        <v>55</v>
      </c>
      <c r="C10" s="3" t="s">
        <v>85</v>
      </c>
      <c r="D10" s="3" t="s">
        <v>86</v>
      </c>
      <c r="E10" s="3" t="s">
        <v>58</v>
      </c>
      <c r="F10" s="3" t="s">
        <v>49</v>
      </c>
      <c r="G10" s="3" t="s">
        <v>81</v>
      </c>
      <c r="H10" s="3" t="s">
        <v>50</v>
      </c>
      <c r="I10" s="3" t="s">
        <v>49</v>
      </c>
      <c r="J10" s="3" t="s">
        <v>41</v>
      </c>
      <c r="K10" s="4">
        <v>45333</v>
      </c>
      <c r="L10" s="3">
        <v>15</v>
      </c>
      <c r="M10" s="3">
        <v>34120</v>
      </c>
      <c r="N10" s="3">
        <v>5103</v>
      </c>
      <c r="O10" s="3">
        <v>4.2</v>
      </c>
      <c r="P10" s="3" t="s">
        <v>30</v>
      </c>
      <c r="Q10" s="3" t="s">
        <v>31</v>
      </c>
      <c r="R10" s="3" t="s">
        <v>64</v>
      </c>
      <c r="S10" s="3" t="s">
        <v>87</v>
      </c>
      <c r="T10" s="3" t="s">
        <v>88</v>
      </c>
    </row>
    <row r="11" spans="1:20" x14ac:dyDescent="0.3">
      <c r="A11" s="3" t="s">
        <v>89</v>
      </c>
      <c r="B11" s="3" t="s">
        <v>90</v>
      </c>
      <c r="C11" s="3" t="s">
        <v>69</v>
      </c>
      <c r="D11" s="3" t="s">
        <v>57</v>
      </c>
      <c r="E11" s="3" t="s">
        <v>80</v>
      </c>
      <c r="F11" s="3" t="s">
        <v>28</v>
      </c>
      <c r="G11" s="3" t="s">
        <v>39</v>
      </c>
      <c r="H11" s="3" t="s">
        <v>71</v>
      </c>
      <c r="I11" s="3" t="s">
        <v>27</v>
      </c>
      <c r="J11" s="3" t="s">
        <v>29</v>
      </c>
      <c r="K11" s="4">
        <v>45267</v>
      </c>
      <c r="L11" s="3">
        <v>7</v>
      </c>
      <c r="M11" s="3">
        <v>69962</v>
      </c>
      <c r="N11" s="3">
        <v>9730</v>
      </c>
      <c r="O11" s="3">
        <v>3.2</v>
      </c>
      <c r="P11" s="3" t="s">
        <v>42</v>
      </c>
      <c r="Q11" s="3" t="s">
        <v>31</v>
      </c>
      <c r="R11" s="3" t="s">
        <v>51</v>
      </c>
      <c r="S11" s="3" t="s">
        <v>91</v>
      </c>
      <c r="T11" s="3" t="s">
        <v>92</v>
      </c>
    </row>
    <row r="12" spans="1:20" x14ac:dyDescent="0.3">
      <c r="A12" s="3" t="s">
        <v>93</v>
      </c>
      <c r="B12" s="3" t="s">
        <v>68</v>
      </c>
      <c r="C12" s="3" t="s">
        <v>36</v>
      </c>
      <c r="D12" s="3" t="s">
        <v>4</v>
      </c>
      <c r="E12" s="3" t="s">
        <v>48</v>
      </c>
      <c r="F12" s="3" t="s">
        <v>49</v>
      </c>
      <c r="G12" s="3" t="s">
        <v>39</v>
      </c>
      <c r="H12" s="3" t="s">
        <v>50</v>
      </c>
      <c r="I12" s="3" t="s">
        <v>27</v>
      </c>
      <c r="J12" s="3" t="s">
        <v>29</v>
      </c>
      <c r="K12" s="4">
        <v>44630</v>
      </c>
      <c r="L12" s="3">
        <v>14</v>
      </c>
      <c r="M12" s="3">
        <v>65801</v>
      </c>
      <c r="N12" s="3">
        <v>11898</v>
      </c>
      <c r="O12" s="3">
        <v>4.2</v>
      </c>
      <c r="P12" s="3" t="s">
        <v>42</v>
      </c>
      <c r="Q12" s="3" t="s">
        <v>31</v>
      </c>
      <c r="R12" s="3" t="s">
        <v>64</v>
      </c>
      <c r="S12" s="3" t="s">
        <v>94</v>
      </c>
      <c r="T12" s="3" t="s">
        <v>95</v>
      </c>
    </row>
    <row r="13" spans="1:20" x14ac:dyDescent="0.3">
      <c r="A13" s="3" t="s">
        <v>96</v>
      </c>
      <c r="B13" s="3" t="s">
        <v>47</v>
      </c>
      <c r="C13" s="3" t="s">
        <v>85</v>
      </c>
      <c r="D13" s="3" t="s">
        <v>70</v>
      </c>
      <c r="E13" s="3" t="s">
        <v>48</v>
      </c>
      <c r="F13" s="3" t="s">
        <v>28</v>
      </c>
      <c r="G13" s="3" t="s">
        <v>59</v>
      </c>
      <c r="H13" s="3" t="s">
        <v>97</v>
      </c>
      <c r="I13" s="3" t="s">
        <v>98</v>
      </c>
      <c r="J13" s="3" t="s">
        <v>41</v>
      </c>
      <c r="K13" s="4">
        <v>44563</v>
      </c>
      <c r="L13" s="3">
        <v>6</v>
      </c>
      <c r="M13" s="3">
        <v>49718</v>
      </c>
      <c r="N13" s="3">
        <v>3331</v>
      </c>
      <c r="O13" s="3">
        <v>3.7</v>
      </c>
      <c r="P13" s="3" t="s">
        <v>42</v>
      </c>
      <c r="Q13" s="3" t="s">
        <v>43</v>
      </c>
      <c r="R13" s="3" t="s">
        <v>51</v>
      </c>
      <c r="S13" s="3" t="s">
        <v>99</v>
      </c>
      <c r="T13" s="3" t="s">
        <v>100</v>
      </c>
    </row>
    <row r="14" spans="1:20" x14ac:dyDescent="0.3">
      <c r="A14" s="3" t="s">
        <v>101</v>
      </c>
      <c r="B14" s="3" t="s">
        <v>21</v>
      </c>
      <c r="C14" s="3" t="s">
        <v>102</v>
      </c>
      <c r="D14" s="3" t="s">
        <v>23</v>
      </c>
      <c r="E14" s="3" t="s">
        <v>58</v>
      </c>
      <c r="F14" s="3" t="s">
        <v>27</v>
      </c>
      <c r="G14" s="3" t="s">
        <v>81</v>
      </c>
      <c r="H14" s="3" t="s">
        <v>27</v>
      </c>
      <c r="I14" s="3" t="s">
        <v>27</v>
      </c>
      <c r="J14" s="3" t="s">
        <v>41</v>
      </c>
      <c r="K14" s="4">
        <v>44349</v>
      </c>
      <c r="L14" s="3">
        <v>0</v>
      </c>
      <c r="M14" s="3">
        <v>38331</v>
      </c>
      <c r="N14" s="3">
        <v>6325</v>
      </c>
      <c r="O14" s="3">
        <v>4.7</v>
      </c>
      <c r="P14" s="3" t="s">
        <v>30</v>
      </c>
      <c r="Q14" s="3" t="s">
        <v>43</v>
      </c>
      <c r="R14" s="3" t="s">
        <v>51</v>
      </c>
      <c r="S14" s="3" t="s">
        <v>103</v>
      </c>
      <c r="T14" s="3" t="s">
        <v>104</v>
      </c>
    </row>
    <row r="15" spans="1:20" x14ac:dyDescent="0.3">
      <c r="A15" s="3" t="s">
        <v>105</v>
      </c>
      <c r="B15" s="3" t="s">
        <v>21</v>
      </c>
      <c r="C15" s="3" t="s">
        <v>102</v>
      </c>
      <c r="D15" s="3" t="s">
        <v>86</v>
      </c>
      <c r="E15" s="3" t="s">
        <v>24</v>
      </c>
      <c r="F15" s="3" t="s">
        <v>98</v>
      </c>
      <c r="G15" s="3" t="s">
        <v>39</v>
      </c>
      <c r="H15" s="3" t="s">
        <v>71</v>
      </c>
      <c r="I15" s="3" t="s">
        <v>38</v>
      </c>
      <c r="J15" s="3" t="s">
        <v>41</v>
      </c>
      <c r="K15" s="4">
        <v>44996</v>
      </c>
      <c r="L15" s="3">
        <v>4</v>
      </c>
      <c r="M15" s="3">
        <v>46271</v>
      </c>
      <c r="N15" s="3">
        <v>3758</v>
      </c>
      <c r="O15" s="3">
        <v>3.2</v>
      </c>
      <c r="P15" s="3" t="s">
        <v>30</v>
      </c>
      <c r="Q15" s="3" t="s">
        <v>43</v>
      </c>
      <c r="R15" s="3" t="s">
        <v>64</v>
      </c>
      <c r="S15" s="3" t="s">
        <v>106</v>
      </c>
      <c r="T15" s="3" t="s">
        <v>107</v>
      </c>
    </row>
    <row r="16" spans="1:20" x14ac:dyDescent="0.3">
      <c r="A16" s="3" t="s">
        <v>108</v>
      </c>
      <c r="B16" s="3" t="s">
        <v>109</v>
      </c>
      <c r="C16" s="3" t="s">
        <v>36</v>
      </c>
      <c r="D16" s="3" t="s">
        <v>70</v>
      </c>
      <c r="E16" s="3" t="s">
        <v>24</v>
      </c>
      <c r="F16" s="3" t="s">
        <v>25</v>
      </c>
      <c r="G16" s="3" t="s">
        <v>81</v>
      </c>
      <c r="H16" s="3" t="s">
        <v>40</v>
      </c>
      <c r="I16" s="3" t="s">
        <v>49</v>
      </c>
      <c r="J16" s="3" t="s">
        <v>29</v>
      </c>
      <c r="K16" s="4">
        <v>44224</v>
      </c>
      <c r="L16" s="3">
        <v>11</v>
      </c>
      <c r="M16" s="3">
        <v>84436</v>
      </c>
      <c r="N16" s="3">
        <v>9572</v>
      </c>
      <c r="O16" s="3">
        <v>4.0999999999999996</v>
      </c>
      <c r="P16" s="3" t="s">
        <v>42</v>
      </c>
      <c r="Q16" s="3" t="s">
        <v>31</v>
      </c>
      <c r="R16" s="3" t="s">
        <v>64</v>
      </c>
      <c r="S16" s="3" t="s">
        <v>110</v>
      </c>
      <c r="T16" s="3" t="s">
        <v>111</v>
      </c>
    </row>
    <row r="17" spans="1:20" x14ac:dyDescent="0.3">
      <c r="A17" s="3" t="s">
        <v>112</v>
      </c>
      <c r="B17" s="3" t="s">
        <v>68</v>
      </c>
      <c r="C17" s="3" t="s">
        <v>102</v>
      </c>
      <c r="D17" s="3" t="s">
        <v>70</v>
      </c>
      <c r="E17" s="3" t="s">
        <v>37</v>
      </c>
      <c r="F17" s="3" t="s">
        <v>25</v>
      </c>
      <c r="G17" s="3" t="s">
        <v>81</v>
      </c>
      <c r="H17" s="3" t="s">
        <v>97</v>
      </c>
      <c r="I17" s="3" t="s">
        <v>38</v>
      </c>
      <c r="J17" s="3" t="s">
        <v>41</v>
      </c>
      <c r="K17" s="4">
        <v>45300</v>
      </c>
      <c r="L17" s="3">
        <v>9</v>
      </c>
      <c r="M17" s="3">
        <v>86740</v>
      </c>
      <c r="N17" s="3">
        <v>4705</v>
      </c>
      <c r="O17" s="3">
        <v>3.2</v>
      </c>
      <c r="P17" s="3" t="s">
        <v>30</v>
      </c>
      <c r="Q17" s="3" t="s">
        <v>60</v>
      </c>
      <c r="R17" s="3" t="s">
        <v>51</v>
      </c>
      <c r="S17" s="3" t="s">
        <v>113</v>
      </c>
      <c r="T17" s="3" t="s">
        <v>114</v>
      </c>
    </row>
    <row r="18" spans="1:20" x14ac:dyDescent="0.3">
      <c r="A18" s="3" t="s">
        <v>115</v>
      </c>
      <c r="B18" s="3" t="s">
        <v>68</v>
      </c>
      <c r="C18" s="3" t="s">
        <v>85</v>
      </c>
      <c r="D18" s="3" t="s">
        <v>70</v>
      </c>
      <c r="E18" s="3" t="s">
        <v>58</v>
      </c>
      <c r="F18" s="3" t="s">
        <v>98</v>
      </c>
      <c r="G18" s="3" t="s">
        <v>59</v>
      </c>
      <c r="H18" s="3" t="s">
        <v>40</v>
      </c>
      <c r="I18" s="3" t="s">
        <v>27</v>
      </c>
      <c r="J18" s="3" t="s">
        <v>29</v>
      </c>
      <c r="K18" s="4">
        <v>44424</v>
      </c>
      <c r="L18" s="3">
        <v>4</v>
      </c>
      <c r="M18" s="3">
        <v>31085</v>
      </c>
      <c r="N18" s="3">
        <v>14103</v>
      </c>
      <c r="O18" s="3">
        <v>3.6</v>
      </c>
      <c r="P18" s="3" t="s">
        <v>30</v>
      </c>
      <c r="Q18" s="3" t="s">
        <v>60</v>
      </c>
      <c r="R18" s="3" t="s">
        <v>51</v>
      </c>
      <c r="S18" s="3" t="s">
        <v>116</v>
      </c>
      <c r="T18" s="3" t="s">
        <v>117</v>
      </c>
    </row>
    <row r="19" spans="1:20" x14ac:dyDescent="0.3">
      <c r="A19" s="3" t="s">
        <v>118</v>
      </c>
      <c r="B19" s="3" t="s">
        <v>35</v>
      </c>
      <c r="C19" s="3" t="s">
        <v>56</v>
      </c>
      <c r="D19" s="3" t="s">
        <v>86</v>
      </c>
      <c r="E19" s="3" t="s">
        <v>58</v>
      </c>
      <c r="F19" s="3" t="s">
        <v>28</v>
      </c>
      <c r="G19" s="3" t="s">
        <v>59</v>
      </c>
      <c r="H19" s="3" t="s">
        <v>27</v>
      </c>
      <c r="I19" s="3" t="s">
        <v>28</v>
      </c>
      <c r="J19" s="3" t="s">
        <v>29</v>
      </c>
      <c r="K19" s="4">
        <v>44758</v>
      </c>
      <c r="L19" s="3">
        <v>0</v>
      </c>
      <c r="M19" s="3">
        <v>52504</v>
      </c>
      <c r="N19" s="3">
        <v>10409</v>
      </c>
      <c r="O19" s="3">
        <v>4.3</v>
      </c>
      <c r="P19" s="3" t="s">
        <v>42</v>
      </c>
      <c r="Q19" s="3" t="s">
        <v>60</v>
      </c>
      <c r="R19" s="3" t="s">
        <v>51</v>
      </c>
      <c r="S19" s="3" t="s">
        <v>119</v>
      </c>
      <c r="T19" s="3" t="s">
        <v>120</v>
      </c>
    </row>
    <row r="20" spans="1:20" x14ac:dyDescent="0.3">
      <c r="A20" s="3" t="s">
        <v>121</v>
      </c>
      <c r="B20" s="3" t="s">
        <v>21</v>
      </c>
      <c r="C20" s="3" t="s">
        <v>22</v>
      </c>
      <c r="D20" s="3" t="s">
        <v>23</v>
      </c>
      <c r="E20" s="3" t="s">
        <v>37</v>
      </c>
      <c r="F20" s="3" t="s">
        <v>38</v>
      </c>
      <c r="G20" s="3" t="s">
        <v>59</v>
      </c>
      <c r="H20" s="3" t="s">
        <v>40</v>
      </c>
      <c r="I20" s="3" t="s">
        <v>49</v>
      </c>
      <c r="J20" s="3" t="s">
        <v>29</v>
      </c>
      <c r="K20" s="4">
        <v>44648</v>
      </c>
      <c r="L20" s="3">
        <v>12</v>
      </c>
      <c r="M20" s="3">
        <v>44859</v>
      </c>
      <c r="N20" s="3">
        <v>4131</v>
      </c>
      <c r="O20" s="3">
        <v>4.5999999999999996</v>
      </c>
      <c r="P20" s="3" t="s">
        <v>30</v>
      </c>
      <c r="Q20" s="3" t="s">
        <v>43</v>
      </c>
      <c r="R20" s="3" t="s">
        <v>32</v>
      </c>
      <c r="S20" s="3" t="s">
        <v>122</v>
      </c>
      <c r="T20" s="3" t="s">
        <v>123</v>
      </c>
    </row>
    <row r="21" spans="1:20" x14ac:dyDescent="0.3">
      <c r="A21" s="3" t="s">
        <v>124</v>
      </c>
      <c r="B21" s="3" t="s">
        <v>125</v>
      </c>
      <c r="C21" s="3" t="s">
        <v>102</v>
      </c>
      <c r="D21" s="3" t="s">
        <v>23</v>
      </c>
      <c r="E21" s="3" t="s">
        <v>80</v>
      </c>
      <c r="F21" s="3" t="s">
        <v>98</v>
      </c>
      <c r="G21" s="3" t="s">
        <v>39</v>
      </c>
      <c r="H21" s="3" t="s">
        <v>97</v>
      </c>
      <c r="I21" s="3" t="s">
        <v>25</v>
      </c>
      <c r="J21" s="3" t="s">
        <v>41</v>
      </c>
      <c r="K21" s="4">
        <v>43747</v>
      </c>
      <c r="L21" s="3">
        <v>14</v>
      </c>
      <c r="M21" s="3">
        <v>53636</v>
      </c>
      <c r="N21" s="3">
        <v>6641</v>
      </c>
      <c r="O21" s="3">
        <v>3.8</v>
      </c>
      <c r="P21" s="3" t="s">
        <v>42</v>
      </c>
      <c r="Q21" s="3" t="s">
        <v>31</v>
      </c>
      <c r="R21" s="3" t="s">
        <v>51</v>
      </c>
      <c r="S21" s="3" t="s">
        <v>126</v>
      </c>
      <c r="T21" s="3" t="s">
        <v>127</v>
      </c>
    </row>
    <row r="22" spans="1:20" x14ac:dyDescent="0.3">
      <c r="A22" s="3" t="s">
        <v>128</v>
      </c>
      <c r="B22" s="3" t="s">
        <v>129</v>
      </c>
      <c r="C22" s="3" t="s">
        <v>69</v>
      </c>
      <c r="D22" s="3" t="s">
        <v>23</v>
      </c>
      <c r="E22" s="3" t="s">
        <v>37</v>
      </c>
      <c r="F22" s="3" t="s">
        <v>49</v>
      </c>
      <c r="G22" s="3" t="s">
        <v>39</v>
      </c>
      <c r="H22" s="3" t="s">
        <v>27</v>
      </c>
      <c r="I22" s="3" t="s">
        <v>28</v>
      </c>
      <c r="J22" s="3" t="s">
        <v>41</v>
      </c>
      <c r="K22" s="4">
        <v>44501</v>
      </c>
      <c r="L22" s="3">
        <v>7</v>
      </c>
      <c r="M22" s="3">
        <v>53436</v>
      </c>
      <c r="N22" s="3">
        <v>11625</v>
      </c>
      <c r="O22" s="3">
        <v>3.1</v>
      </c>
      <c r="P22" s="3" t="s">
        <v>42</v>
      </c>
      <c r="Q22" s="3" t="s">
        <v>31</v>
      </c>
      <c r="R22" s="3" t="s">
        <v>64</v>
      </c>
      <c r="S22" s="3" t="s">
        <v>130</v>
      </c>
      <c r="T22" s="3" t="s">
        <v>131</v>
      </c>
    </row>
    <row r="23" spans="1:20" x14ac:dyDescent="0.3">
      <c r="A23" s="3" t="s">
        <v>132</v>
      </c>
      <c r="B23" s="3" t="s">
        <v>129</v>
      </c>
      <c r="C23" s="3" t="s">
        <v>85</v>
      </c>
      <c r="D23" s="3" t="s">
        <v>4</v>
      </c>
      <c r="E23" s="3" t="s">
        <v>48</v>
      </c>
      <c r="F23" s="3" t="s">
        <v>28</v>
      </c>
      <c r="G23" s="3" t="s">
        <v>59</v>
      </c>
      <c r="H23" s="3" t="s">
        <v>40</v>
      </c>
      <c r="I23" s="3" t="s">
        <v>98</v>
      </c>
      <c r="J23" s="3" t="s">
        <v>41</v>
      </c>
      <c r="K23" s="4">
        <v>44476</v>
      </c>
      <c r="L23" s="3">
        <v>0</v>
      </c>
      <c r="M23" s="3">
        <v>54699</v>
      </c>
      <c r="N23" s="3">
        <v>3466</v>
      </c>
      <c r="O23" s="3">
        <v>3.9</v>
      </c>
      <c r="P23" s="3" t="s">
        <v>42</v>
      </c>
      <c r="Q23" s="3" t="s">
        <v>60</v>
      </c>
      <c r="R23" s="3" t="s">
        <v>51</v>
      </c>
      <c r="S23" s="3" t="s">
        <v>133</v>
      </c>
      <c r="T23" s="3" t="s">
        <v>134</v>
      </c>
    </row>
    <row r="24" spans="1:20" x14ac:dyDescent="0.3">
      <c r="A24" s="3" t="s">
        <v>135</v>
      </c>
      <c r="B24" s="3" t="s">
        <v>136</v>
      </c>
      <c r="C24" s="3" t="s">
        <v>56</v>
      </c>
      <c r="D24" s="3" t="s">
        <v>4</v>
      </c>
      <c r="E24" s="3" t="s">
        <v>37</v>
      </c>
      <c r="F24" s="3" t="s">
        <v>28</v>
      </c>
      <c r="G24" s="3" t="s">
        <v>59</v>
      </c>
      <c r="H24" s="3" t="s">
        <v>97</v>
      </c>
      <c r="I24" s="3" t="s">
        <v>49</v>
      </c>
      <c r="J24" s="3" t="s">
        <v>41</v>
      </c>
      <c r="K24" s="4">
        <v>45589</v>
      </c>
      <c r="L24" s="3">
        <v>9</v>
      </c>
      <c r="M24" s="3">
        <v>27154</v>
      </c>
      <c r="N24" s="3">
        <v>11568</v>
      </c>
      <c r="O24" s="3">
        <v>3.8</v>
      </c>
      <c r="P24" s="3" t="s">
        <v>30</v>
      </c>
      <c r="Q24" s="3" t="s">
        <v>43</v>
      </c>
      <c r="R24" s="3" t="s">
        <v>51</v>
      </c>
      <c r="S24" s="3" t="s">
        <v>137</v>
      </c>
      <c r="T24" s="3" t="s">
        <v>138</v>
      </c>
    </row>
    <row r="25" spans="1:20" x14ac:dyDescent="0.3">
      <c r="A25" s="3" t="s">
        <v>139</v>
      </c>
      <c r="B25" s="3" t="s">
        <v>75</v>
      </c>
      <c r="C25" s="3" t="s">
        <v>85</v>
      </c>
      <c r="D25" s="3" t="s">
        <v>86</v>
      </c>
      <c r="E25" s="3" t="s">
        <v>24</v>
      </c>
      <c r="F25" s="3" t="s">
        <v>28</v>
      </c>
      <c r="G25" s="3" t="s">
        <v>59</v>
      </c>
      <c r="H25" s="3" t="s">
        <v>50</v>
      </c>
      <c r="I25" s="3" t="s">
        <v>28</v>
      </c>
      <c r="J25" s="3" t="s">
        <v>41</v>
      </c>
      <c r="K25" s="4">
        <v>43253</v>
      </c>
      <c r="L25" s="3">
        <v>12</v>
      </c>
      <c r="M25" s="3">
        <v>79582</v>
      </c>
      <c r="N25" s="3">
        <v>6423</v>
      </c>
      <c r="O25" s="3">
        <v>3.1</v>
      </c>
      <c r="P25" s="3" t="s">
        <v>42</v>
      </c>
      <c r="Q25" s="3" t="s">
        <v>60</v>
      </c>
      <c r="R25" s="3" t="s">
        <v>32</v>
      </c>
      <c r="S25" s="3" t="s">
        <v>140</v>
      </c>
      <c r="T25" s="3" t="s">
        <v>141</v>
      </c>
    </row>
    <row r="26" spans="1:20" x14ac:dyDescent="0.3">
      <c r="A26" s="3" t="s">
        <v>142</v>
      </c>
      <c r="B26" s="3" t="s">
        <v>143</v>
      </c>
      <c r="C26" s="3" t="s">
        <v>69</v>
      </c>
      <c r="D26" s="3" t="s">
        <v>23</v>
      </c>
      <c r="E26" s="3" t="s">
        <v>24</v>
      </c>
      <c r="F26" s="3" t="s">
        <v>98</v>
      </c>
      <c r="G26" s="3" t="s">
        <v>26</v>
      </c>
      <c r="H26" s="3" t="s">
        <v>50</v>
      </c>
      <c r="I26" s="3" t="s">
        <v>28</v>
      </c>
      <c r="J26" s="3" t="s">
        <v>41</v>
      </c>
      <c r="K26" s="4">
        <v>44908</v>
      </c>
      <c r="L26" s="3">
        <v>2</v>
      </c>
      <c r="M26" s="3">
        <v>74183</v>
      </c>
      <c r="N26" s="3">
        <v>7687</v>
      </c>
      <c r="O26" s="3">
        <v>5</v>
      </c>
      <c r="P26" s="3" t="s">
        <v>30</v>
      </c>
      <c r="Q26" s="3" t="s">
        <v>31</v>
      </c>
      <c r="R26" s="3" t="s">
        <v>32</v>
      </c>
      <c r="S26" s="3" t="s">
        <v>144</v>
      </c>
      <c r="T26" s="3" t="s">
        <v>145</v>
      </c>
    </row>
    <row r="27" spans="1:20" x14ac:dyDescent="0.3">
      <c r="A27" s="3" t="s">
        <v>146</v>
      </c>
      <c r="B27" s="3" t="s">
        <v>21</v>
      </c>
      <c r="C27" s="3" t="s">
        <v>22</v>
      </c>
      <c r="D27" s="3" t="s">
        <v>70</v>
      </c>
      <c r="E27" s="3" t="s">
        <v>58</v>
      </c>
      <c r="F27" s="3" t="s">
        <v>27</v>
      </c>
      <c r="G27" s="3" t="s">
        <v>39</v>
      </c>
      <c r="H27" s="3" t="s">
        <v>71</v>
      </c>
      <c r="I27" s="3" t="s">
        <v>25</v>
      </c>
      <c r="J27" s="3" t="s">
        <v>41</v>
      </c>
      <c r="K27" s="4">
        <v>45156</v>
      </c>
      <c r="L27" s="3">
        <v>3</v>
      </c>
      <c r="M27" s="3">
        <v>74594</v>
      </c>
      <c r="N27" s="3">
        <v>13189</v>
      </c>
      <c r="O27" s="3">
        <v>4.2</v>
      </c>
      <c r="P27" s="3" t="s">
        <v>42</v>
      </c>
      <c r="Q27" s="3" t="s">
        <v>60</v>
      </c>
      <c r="R27" s="3" t="s">
        <v>64</v>
      </c>
      <c r="S27" s="3" t="s">
        <v>147</v>
      </c>
      <c r="T27" s="3" t="s">
        <v>148</v>
      </c>
    </row>
    <row r="28" spans="1:20" x14ac:dyDescent="0.3">
      <c r="A28" s="3" t="s">
        <v>149</v>
      </c>
      <c r="B28" s="3" t="s">
        <v>68</v>
      </c>
      <c r="C28" s="3" t="s">
        <v>36</v>
      </c>
      <c r="D28" s="3" t="s">
        <v>23</v>
      </c>
      <c r="E28" s="3" t="s">
        <v>37</v>
      </c>
      <c r="F28" s="3" t="s">
        <v>27</v>
      </c>
      <c r="G28" s="3" t="s">
        <v>26</v>
      </c>
      <c r="H28" s="3" t="s">
        <v>27</v>
      </c>
      <c r="I28" s="3" t="s">
        <v>28</v>
      </c>
      <c r="J28" s="3" t="s">
        <v>41</v>
      </c>
      <c r="K28" s="4">
        <v>44147</v>
      </c>
      <c r="L28" s="3">
        <v>13</v>
      </c>
      <c r="M28" s="3">
        <v>34164</v>
      </c>
      <c r="N28" s="3">
        <v>7867</v>
      </c>
      <c r="O28" s="3">
        <v>3.7</v>
      </c>
      <c r="P28" s="3" t="s">
        <v>30</v>
      </c>
      <c r="Q28" s="3" t="s">
        <v>43</v>
      </c>
      <c r="R28" s="3" t="s">
        <v>32</v>
      </c>
      <c r="S28" s="3" t="s">
        <v>150</v>
      </c>
      <c r="T28" s="3" t="s">
        <v>151</v>
      </c>
    </row>
    <row r="29" spans="1:20" x14ac:dyDescent="0.3">
      <c r="A29" s="3" t="s">
        <v>152</v>
      </c>
      <c r="B29" s="3" t="s">
        <v>68</v>
      </c>
      <c r="C29" s="3" t="s">
        <v>102</v>
      </c>
      <c r="D29" s="3" t="s">
        <v>86</v>
      </c>
      <c r="E29" s="3" t="s">
        <v>24</v>
      </c>
      <c r="F29" s="3" t="s">
        <v>27</v>
      </c>
      <c r="G29" s="3" t="s">
        <v>81</v>
      </c>
      <c r="H29" s="3" t="s">
        <v>50</v>
      </c>
      <c r="I29" s="3" t="s">
        <v>25</v>
      </c>
      <c r="J29" s="3" t="s">
        <v>41</v>
      </c>
      <c r="K29" s="4">
        <v>44791</v>
      </c>
      <c r="L29" s="3">
        <v>12</v>
      </c>
      <c r="M29" s="3">
        <v>57058</v>
      </c>
      <c r="N29" s="3">
        <v>2616</v>
      </c>
      <c r="O29" s="3">
        <v>3.5</v>
      </c>
      <c r="P29" s="3" t="s">
        <v>30</v>
      </c>
      <c r="Q29" s="3" t="s">
        <v>60</v>
      </c>
      <c r="R29" s="3" t="s">
        <v>51</v>
      </c>
      <c r="S29" s="3" t="s">
        <v>153</v>
      </c>
      <c r="T29" s="3" t="s">
        <v>154</v>
      </c>
    </row>
    <row r="30" spans="1:20" x14ac:dyDescent="0.3">
      <c r="A30" s="3" t="s">
        <v>155</v>
      </c>
      <c r="B30" s="3" t="s">
        <v>143</v>
      </c>
      <c r="C30" s="3" t="s">
        <v>102</v>
      </c>
      <c r="D30" s="3" t="s">
        <v>57</v>
      </c>
      <c r="E30" s="3" t="s">
        <v>80</v>
      </c>
      <c r="F30" s="3" t="s">
        <v>27</v>
      </c>
      <c r="G30" s="3" t="s">
        <v>39</v>
      </c>
      <c r="H30" s="3" t="s">
        <v>97</v>
      </c>
      <c r="I30" s="3" t="s">
        <v>98</v>
      </c>
      <c r="J30" s="3" t="s">
        <v>41</v>
      </c>
      <c r="K30" s="4">
        <v>45097</v>
      </c>
      <c r="L30" s="3">
        <v>15</v>
      </c>
      <c r="M30" s="3">
        <v>67540</v>
      </c>
      <c r="N30" s="3">
        <v>12787</v>
      </c>
      <c r="O30" s="3">
        <v>4.3</v>
      </c>
      <c r="P30" s="3" t="s">
        <v>42</v>
      </c>
      <c r="Q30" s="3" t="s">
        <v>43</v>
      </c>
      <c r="R30" s="3" t="s">
        <v>32</v>
      </c>
      <c r="S30" s="3" t="s">
        <v>156</v>
      </c>
      <c r="T30" s="3" t="s">
        <v>157</v>
      </c>
    </row>
    <row r="31" spans="1:20" x14ac:dyDescent="0.3">
      <c r="A31" s="3" t="s">
        <v>158</v>
      </c>
      <c r="B31" s="3" t="s">
        <v>129</v>
      </c>
      <c r="C31" s="3" t="s">
        <v>22</v>
      </c>
      <c r="D31" s="3" t="s">
        <v>4</v>
      </c>
      <c r="E31" s="3" t="s">
        <v>58</v>
      </c>
      <c r="F31" s="3" t="s">
        <v>25</v>
      </c>
      <c r="G31" s="3" t="s">
        <v>39</v>
      </c>
      <c r="H31" s="3" t="s">
        <v>27</v>
      </c>
      <c r="I31" s="3" t="s">
        <v>49</v>
      </c>
      <c r="J31" s="3" t="s">
        <v>29</v>
      </c>
      <c r="K31" s="4">
        <v>44778</v>
      </c>
      <c r="L31" s="3">
        <v>2</v>
      </c>
      <c r="M31" s="3">
        <v>88098</v>
      </c>
      <c r="N31" s="3">
        <v>12895</v>
      </c>
      <c r="O31" s="3">
        <v>4</v>
      </c>
      <c r="P31" s="3" t="s">
        <v>42</v>
      </c>
      <c r="Q31" s="3" t="s">
        <v>60</v>
      </c>
      <c r="R31" s="3" t="s">
        <v>64</v>
      </c>
      <c r="S31" s="3" t="s">
        <v>159</v>
      </c>
      <c r="T31" s="3" t="s">
        <v>160</v>
      </c>
    </row>
    <row r="32" spans="1:20" x14ac:dyDescent="0.3">
      <c r="A32" s="3" t="s">
        <v>161</v>
      </c>
      <c r="B32" s="3" t="s">
        <v>68</v>
      </c>
      <c r="C32" s="3" t="s">
        <v>85</v>
      </c>
      <c r="D32" s="3" t="s">
        <v>23</v>
      </c>
      <c r="E32" s="3" t="s">
        <v>80</v>
      </c>
      <c r="F32" s="3" t="s">
        <v>98</v>
      </c>
      <c r="G32" s="3" t="s">
        <v>81</v>
      </c>
      <c r="H32" s="3" t="s">
        <v>40</v>
      </c>
      <c r="I32" s="3" t="s">
        <v>38</v>
      </c>
      <c r="J32" s="3" t="s">
        <v>41</v>
      </c>
      <c r="K32" s="4">
        <v>43569</v>
      </c>
      <c r="L32" s="3">
        <v>15</v>
      </c>
      <c r="M32" s="3">
        <v>93828</v>
      </c>
      <c r="N32" s="3">
        <v>3852</v>
      </c>
      <c r="O32" s="3">
        <v>3.3</v>
      </c>
      <c r="P32" s="3" t="s">
        <v>30</v>
      </c>
      <c r="Q32" s="3" t="s">
        <v>31</v>
      </c>
      <c r="R32" s="3" t="s">
        <v>64</v>
      </c>
      <c r="S32" s="3" t="s">
        <v>162</v>
      </c>
      <c r="T32" s="3" t="s">
        <v>163</v>
      </c>
    </row>
    <row r="33" spans="1:20" x14ac:dyDescent="0.3">
      <c r="A33" s="3" t="s">
        <v>164</v>
      </c>
      <c r="B33" s="3" t="s">
        <v>109</v>
      </c>
      <c r="C33" s="3" t="s">
        <v>36</v>
      </c>
      <c r="D33" s="3" t="s">
        <v>57</v>
      </c>
      <c r="E33" s="3" t="s">
        <v>80</v>
      </c>
      <c r="F33" s="3" t="s">
        <v>38</v>
      </c>
      <c r="G33" s="3" t="s">
        <v>39</v>
      </c>
      <c r="H33" s="3" t="s">
        <v>40</v>
      </c>
      <c r="I33" s="3" t="s">
        <v>28</v>
      </c>
      <c r="J33" s="3" t="s">
        <v>41</v>
      </c>
      <c r="K33" s="4">
        <v>44434</v>
      </c>
      <c r="L33" s="3">
        <v>0</v>
      </c>
      <c r="M33" s="3">
        <v>32233</v>
      </c>
      <c r="N33" s="3">
        <v>8442</v>
      </c>
      <c r="O33" s="3">
        <v>4.4000000000000004</v>
      </c>
      <c r="P33" s="3" t="s">
        <v>30</v>
      </c>
      <c r="Q33" s="3" t="s">
        <v>31</v>
      </c>
      <c r="R33" s="3" t="s">
        <v>51</v>
      </c>
      <c r="S33" s="3" t="s">
        <v>165</v>
      </c>
      <c r="T33" s="3" t="s">
        <v>166</v>
      </c>
    </row>
    <row r="34" spans="1:20" x14ac:dyDescent="0.3">
      <c r="A34" s="3" t="s">
        <v>167</v>
      </c>
      <c r="B34" s="3" t="s">
        <v>55</v>
      </c>
      <c r="C34" s="3" t="s">
        <v>36</v>
      </c>
      <c r="D34" s="3" t="s">
        <v>86</v>
      </c>
      <c r="E34" s="3" t="s">
        <v>80</v>
      </c>
      <c r="F34" s="3" t="s">
        <v>38</v>
      </c>
      <c r="G34" s="3" t="s">
        <v>39</v>
      </c>
      <c r="H34" s="3" t="s">
        <v>40</v>
      </c>
      <c r="I34" s="3" t="s">
        <v>25</v>
      </c>
      <c r="J34" s="3" t="s">
        <v>29</v>
      </c>
      <c r="K34" s="4">
        <v>44818</v>
      </c>
      <c r="L34" s="3">
        <v>12</v>
      </c>
      <c r="M34" s="3">
        <v>60120</v>
      </c>
      <c r="N34" s="3">
        <v>4574</v>
      </c>
      <c r="O34" s="3">
        <v>3.6</v>
      </c>
      <c r="P34" s="3" t="s">
        <v>42</v>
      </c>
      <c r="Q34" s="3" t="s">
        <v>60</v>
      </c>
      <c r="R34" s="3" t="s">
        <v>64</v>
      </c>
      <c r="S34" s="3" t="s">
        <v>168</v>
      </c>
      <c r="T34" s="3" t="s">
        <v>169</v>
      </c>
    </row>
    <row r="35" spans="1:20" x14ac:dyDescent="0.3">
      <c r="A35" s="3" t="s">
        <v>170</v>
      </c>
      <c r="B35" s="3" t="s">
        <v>171</v>
      </c>
      <c r="C35" s="3" t="s">
        <v>56</v>
      </c>
      <c r="D35" s="3" t="s">
        <v>70</v>
      </c>
      <c r="E35" s="3" t="s">
        <v>24</v>
      </c>
      <c r="F35" s="3" t="s">
        <v>25</v>
      </c>
      <c r="G35" s="3" t="s">
        <v>59</v>
      </c>
      <c r="H35" s="3" t="s">
        <v>50</v>
      </c>
      <c r="I35" s="3" t="s">
        <v>27</v>
      </c>
      <c r="J35" s="3" t="s">
        <v>29</v>
      </c>
      <c r="K35" s="4">
        <v>45048</v>
      </c>
      <c r="L35" s="3">
        <v>5</v>
      </c>
      <c r="M35" s="3">
        <v>58529</v>
      </c>
      <c r="N35" s="3">
        <v>13752</v>
      </c>
      <c r="O35" s="3">
        <v>3.2</v>
      </c>
      <c r="P35" s="3" t="s">
        <v>30</v>
      </c>
      <c r="Q35" s="3" t="s">
        <v>43</v>
      </c>
      <c r="R35" s="3" t="s">
        <v>32</v>
      </c>
      <c r="S35" s="3" t="s">
        <v>172</v>
      </c>
      <c r="T35" s="3" t="s">
        <v>173</v>
      </c>
    </row>
    <row r="36" spans="1:20" x14ac:dyDescent="0.3">
      <c r="A36" s="3" t="s">
        <v>174</v>
      </c>
      <c r="B36" s="3" t="s">
        <v>175</v>
      </c>
      <c r="C36" s="3" t="s">
        <v>69</v>
      </c>
      <c r="D36" s="3" t="s">
        <v>57</v>
      </c>
      <c r="E36" s="3" t="s">
        <v>80</v>
      </c>
      <c r="F36" s="3" t="s">
        <v>49</v>
      </c>
      <c r="G36" s="3" t="s">
        <v>39</v>
      </c>
      <c r="H36" s="3" t="s">
        <v>71</v>
      </c>
      <c r="I36" s="3" t="s">
        <v>98</v>
      </c>
      <c r="J36" s="3" t="s">
        <v>29</v>
      </c>
      <c r="K36" s="4">
        <v>45065</v>
      </c>
      <c r="L36" s="3">
        <v>13</v>
      </c>
      <c r="M36" s="3">
        <v>31135</v>
      </c>
      <c r="N36" s="3">
        <v>14849</v>
      </c>
      <c r="O36" s="3">
        <v>3.8</v>
      </c>
      <c r="P36" s="3" t="s">
        <v>30</v>
      </c>
      <c r="Q36" s="3" t="s">
        <v>43</v>
      </c>
      <c r="R36" s="3" t="s">
        <v>32</v>
      </c>
      <c r="S36" s="3" t="s">
        <v>176</v>
      </c>
      <c r="T36" s="3" t="s">
        <v>177</v>
      </c>
    </row>
    <row r="37" spans="1:20" x14ac:dyDescent="0.3">
      <c r="A37" s="3" t="s">
        <v>178</v>
      </c>
      <c r="B37" s="3" t="s">
        <v>21</v>
      </c>
      <c r="C37" s="3" t="s">
        <v>102</v>
      </c>
      <c r="D37" s="3" t="s">
        <v>57</v>
      </c>
      <c r="E37" s="3" t="s">
        <v>37</v>
      </c>
      <c r="F37" s="3" t="s">
        <v>28</v>
      </c>
      <c r="G37" s="3" t="s">
        <v>59</v>
      </c>
      <c r="H37" s="3" t="s">
        <v>40</v>
      </c>
      <c r="I37" s="3" t="s">
        <v>49</v>
      </c>
      <c r="J37" s="3" t="s">
        <v>29</v>
      </c>
      <c r="K37" s="4">
        <v>45016</v>
      </c>
      <c r="L37" s="3">
        <v>3</v>
      </c>
      <c r="M37" s="3">
        <v>82888</v>
      </c>
      <c r="N37" s="3">
        <v>13313</v>
      </c>
      <c r="O37" s="3">
        <v>3.1</v>
      </c>
      <c r="P37" s="3" t="s">
        <v>42</v>
      </c>
      <c r="Q37" s="3" t="s">
        <v>60</v>
      </c>
      <c r="R37" s="3" t="s">
        <v>51</v>
      </c>
      <c r="S37" s="3" t="s">
        <v>179</v>
      </c>
      <c r="T37" s="3" t="s">
        <v>180</v>
      </c>
    </row>
    <row r="38" spans="1:20" x14ac:dyDescent="0.3">
      <c r="A38" s="3" t="s">
        <v>181</v>
      </c>
      <c r="B38" s="3" t="s">
        <v>129</v>
      </c>
      <c r="C38" s="3" t="s">
        <v>69</v>
      </c>
      <c r="D38" s="3" t="s">
        <v>23</v>
      </c>
      <c r="E38" s="3" t="s">
        <v>80</v>
      </c>
      <c r="F38" s="3" t="s">
        <v>25</v>
      </c>
      <c r="G38" s="3" t="s">
        <v>81</v>
      </c>
      <c r="H38" s="3" t="s">
        <v>71</v>
      </c>
      <c r="I38" s="3" t="s">
        <v>49</v>
      </c>
      <c r="J38" s="3" t="s">
        <v>41</v>
      </c>
      <c r="K38" s="4">
        <v>45339</v>
      </c>
      <c r="L38" s="3">
        <v>4</v>
      </c>
      <c r="M38" s="3">
        <v>81780</v>
      </c>
      <c r="N38" s="3">
        <v>12633</v>
      </c>
      <c r="O38" s="3">
        <v>4.7</v>
      </c>
      <c r="P38" s="3" t="s">
        <v>30</v>
      </c>
      <c r="Q38" s="3" t="s">
        <v>31</v>
      </c>
      <c r="R38" s="3" t="s">
        <v>51</v>
      </c>
      <c r="S38" s="3" t="s">
        <v>182</v>
      </c>
      <c r="T38" s="3" t="s">
        <v>183</v>
      </c>
    </row>
    <row r="39" spans="1:20" x14ac:dyDescent="0.3">
      <c r="A39" s="3" t="s">
        <v>184</v>
      </c>
      <c r="B39" s="3" t="s">
        <v>143</v>
      </c>
      <c r="C39" s="3" t="s">
        <v>56</v>
      </c>
      <c r="D39" s="3" t="s">
        <v>70</v>
      </c>
      <c r="E39" s="3" t="s">
        <v>58</v>
      </c>
      <c r="F39" s="3" t="s">
        <v>25</v>
      </c>
      <c r="G39" s="3" t="s">
        <v>81</v>
      </c>
      <c r="H39" s="3" t="s">
        <v>71</v>
      </c>
      <c r="I39" s="3" t="s">
        <v>49</v>
      </c>
      <c r="J39" s="3" t="s">
        <v>41</v>
      </c>
      <c r="K39" s="4">
        <v>45166</v>
      </c>
      <c r="L39" s="3">
        <v>2</v>
      </c>
      <c r="M39" s="3">
        <v>90918</v>
      </c>
      <c r="N39" s="3">
        <v>7377</v>
      </c>
      <c r="O39" s="3">
        <v>4.5999999999999996</v>
      </c>
      <c r="P39" s="3" t="s">
        <v>30</v>
      </c>
      <c r="Q39" s="3" t="s">
        <v>60</v>
      </c>
      <c r="R39" s="3" t="s">
        <v>64</v>
      </c>
      <c r="S39" s="3" t="s">
        <v>185</v>
      </c>
      <c r="T39" s="3" t="s">
        <v>186</v>
      </c>
    </row>
    <row r="40" spans="1:20" x14ac:dyDescent="0.3">
      <c r="A40" s="3" t="s">
        <v>187</v>
      </c>
      <c r="B40" s="3" t="s">
        <v>90</v>
      </c>
      <c r="C40" s="3" t="s">
        <v>36</v>
      </c>
      <c r="D40" s="3" t="s">
        <v>4</v>
      </c>
      <c r="E40" s="3" t="s">
        <v>48</v>
      </c>
      <c r="F40" s="3" t="s">
        <v>98</v>
      </c>
      <c r="G40" s="3" t="s">
        <v>59</v>
      </c>
      <c r="H40" s="3" t="s">
        <v>71</v>
      </c>
      <c r="I40" s="3" t="s">
        <v>25</v>
      </c>
      <c r="J40" s="3" t="s">
        <v>29</v>
      </c>
      <c r="K40" s="4">
        <v>45486</v>
      </c>
      <c r="L40" s="3">
        <v>2</v>
      </c>
      <c r="M40" s="3">
        <v>74163</v>
      </c>
      <c r="N40" s="3">
        <v>5662</v>
      </c>
      <c r="O40" s="3">
        <v>3.9</v>
      </c>
      <c r="P40" s="3" t="s">
        <v>42</v>
      </c>
      <c r="Q40" s="3" t="s">
        <v>60</v>
      </c>
      <c r="R40" s="3" t="s">
        <v>51</v>
      </c>
      <c r="S40" s="3" t="s">
        <v>188</v>
      </c>
      <c r="T40" s="3" t="s">
        <v>189</v>
      </c>
    </row>
    <row r="41" spans="1:20" x14ac:dyDescent="0.3">
      <c r="A41" s="3" t="s">
        <v>190</v>
      </c>
      <c r="B41" s="3" t="s">
        <v>175</v>
      </c>
      <c r="C41" s="3" t="s">
        <v>69</v>
      </c>
      <c r="D41" s="3" t="s">
        <v>57</v>
      </c>
      <c r="E41" s="3" t="s">
        <v>37</v>
      </c>
      <c r="F41" s="3" t="s">
        <v>49</v>
      </c>
      <c r="G41" s="3" t="s">
        <v>26</v>
      </c>
      <c r="H41" s="3" t="s">
        <v>27</v>
      </c>
      <c r="I41" s="3" t="s">
        <v>27</v>
      </c>
      <c r="J41" s="3" t="s">
        <v>41</v>
      </c>
      <c r="K41" s="4">
        <v>45457</v>
      </c>
      <c r="L41" s="3">
        <v>5</v>
      </c>
      <c r="M41" s="3">
        <v>70019</v>
      </c>
      <c r="N41" s="3">
        <v>6158</v>
      </c>
      <c r="O41" s="3">
        <v>4.8</v>
      </c>
      <c r="P41" s="3" t="s">
        <v>30</v>
      </c>
      <c r="Q41" s="3" t="s">
        <v>43</v>
      </c>
      <c r="R41" s="3" t="s">
        <v>64</v>
      </c>
      <c r="S41" s="3" t="s">
        <v>191</v>
      </c>
      <c r="T41" s="3" t="s">
        <v>192</v>
      </c>
    </row>
    <row r="42" spans="1:20" x14ac:dyDescent="0.3">
      <c r="A42" s="3" t="s">
        <v>193</v>
      </c>
      <c r="B42" s="3" t="s">
        <v>143</v>
      </c>
      <c r="C42" s="3" t="s">
        <v>85</v>
      </c>
      <c r="D42" s="3" t="s">
        <v>57</v>
      </c>
      <c r="E42" s="3" t="s">
        <v>58</v>
      </c>
      <c r="F42" s="3" t="s">
        <v>28</v>
      </c>
      <c r="G42" s="3" t="s">
        <v>39</v>
      </c>
      <c r="H42" s="3" t="s">
        <v>50</v>
      </c>
      <c r="I42" s="3" t="s">
        <v>27</v>
      </c>
      <c r="J42" s="3" t="s">
        <v>41</v>
      </c>
      <c r="K42" s="4">
        <v>45514</v>
      </c>
      <c r="L42" s="3">
        <v>4</v>
      </c>
      <c r="M42" s="3">
        <v>87407</v>
      </c>
      <c r="N42" s="3">
        <v>8460</v>
      </c>
      <c r="O42" s="3">
        <v>3.9</v>
      </c>
      <c r="P42" s="3" t="s">
        <v>30</v>
      </c>
      <c r="Q42" s="3" t="s">
        <v>60</v>
      </c>
      <c r="R42" s="3" t="s">
        <v>32</v>
      </c>
      <c r="S42" s="3" t="s">
        <v>194</v>
      </c>
      <c r="T42" s="3" t="s">
        <v>195</v>
      </c>
    </row>
    <row r="43" spans="1:20" x14ac:dyDescent="0.3">
      <c r="A43" s="3" t="s">
        <v>196</v>
      </c>
      <c r="B43" s="3" t="s">
        <v>47</v>
      </c>
      <c r="C43" s="3" t="s">
        <v>56</v>
      </c>
      <c r="D43" s="3" t="s">
        <v>23</v>
      </c>
      <c r="E43" s="3" t="s">
        <v>24</v>
      </c>
      <c r="F43" s="3" t="s">
        <v>38</v>
      </c>
      <c r="G43" s="3" t="s">
        <v>81</v>
      </c>
      <c r="H43" s="3" t="s">
        <v>50</v>
      </c>
      <c r="I43" s="3" t="s">
        <v>25</v>
      </c>
      <c r="J43" s="3" t="s">
        <v>41</v>
      </c>
      <c r="K43" s="4">
        <v>44713</v>
      </c>
      <c r="L43" s="3">
        <v>4</v>
      </c>
      <c r="M43" s="3">
        <v>92772</v>
      </c>
      <c r="N43" s="3">
        <v>13079</v>
      </c>
      <c r="O43" s="3">
        <v>4.8</v>
      </c>
      <c r="P43" s="3" t="s">
        <v>42</v>
      </c>
      <c r="Q43" s="3" t="s">
        <v>60</v>
      </c>
      <c r="R43" s="3" t="s">
        <v>51</v>
      </c>
      <c r="S43" s="3" t="s">
        <v>197</v>
      </c>
      <c r="T43" s="3" t="s">
        <v>198</v>
      </c>
    </row>
    <row r="44" spans="1:20" x14ac:dyDescent="0.3">
      <c r="A44" s="3" t="s">
        <v>199</v>
      </c>
      <c r="B44" s="3" t="s">
        <v>90</v>
      </c>
      <c r="C44" s="3" t="s">
        <v>36</v>
      </c>
      <c r="D44" s="3" t="s">
        <v>86</v>
      </c>
      <c r="E44" s="3" t="s">
        <v>37</v>
      </c>
      <c r="F44" s="3" t="s">
        <v>27</v>
      </c>
      <c r="G44" s="3" t="s">
        <v>59</v>
      </c>
      <c r="H44" s="3" t="s">
        <v>40</v>
      </c>
      <c r="I44" s="3" t="s">
        <v>98</v>
      </c>
      <c r="J44" s="3" t="s">
        <v>29</v>
      </c>
      <c r="K44" s="4">
        <v>45105</v>
      </c>
      <c r="L44" s="3">
        <v>5</v>
      </c>
      <c r="M44" s="3">
        <v>39915</v>
      </c>
      <c r="N44" s="3">
        <v>12816</v>
      </c>
      <c r="O44" s="3">
        <v>4.5999999999999996</v>
      </c>
      <c r="P44" s="3" t="s">
        <v>42</v>
      </c>
      <c r="Q44" s="3" t="s">
        <v>60</v>
      </c>
      <c r="R44" s="3" t="s">
        <v>32</v>
      </c>
      <c r="S44" s="3" t="s">
        <v>200</v>
      </c>
      <c r="T44" s="3" t="s">
        <v>201</v>
      </c>
    </row>
    <row r="45" spans="1:20" x14ac:dyDescent="0.3">
      <c r="A45" s="3" t="s">
        <v>202</v>
      </c>
      <c r="B45" s="3" t="s">
        <v>203</v>
      </c>
      <c r="C45" s="3" t="s">
        <v>69</v>
      </c>
      <c r="D45" s="3" t="s">
        <v>70</v>
      </c>
      <c r="E45" s="3" t="s">
        <v>24</v>
      </c>
      <c r="F45" s="3" t="s">
        <v>25</v>
      </c>
      <c r="G45" s="3" t="s">
        <v>39</v>
      </c>
      <c r="H45" s="3" t="s">
        <v>71</v>
      </c>
      <c r="I45" s="3" t="s">
        <v>38</v>
      </c>
      <c r="J45" s="3" t="s">
        <v>41</v>
      </c>
      <c r="K45" s="4">
        <v>45110</v>
      </c>
      <c r="L45" s="3">
        <v>9</v>
      </c>
      <c r="M45" s="3">
        <v>69371</v>
      </c>
      <c r="N45" s="3">
        <v>5964</v>
      </c>
      <c r="O45" s="3">
        <v>3.8</v>
      </c>
      <c r="P45" s="3" t="s">
        <v>42</v>
      </c>
      <c r="Q45" s="3" t="s">
        <v>43</v>
      </c>
      <c r="R45" s="3" t="s">
        <v>51</v>
      </c>
      <c r="S45" s="3" t="s">
        <v>204</v>
      </c>
      <c r="T45" s="3" t="s">
        <v>205</v>
      </c>
    </row>
    <row r="46" spans="1:20" x14ac:dyDescent="0.3">
      <c r="A46" s="3" t="s">
        <v>206</v>
      </c>
      <c r="B46" s="3" t="s">
        <v>125</v>
      </c>
      <c r="C46" s="3" t="s">
        <v>69</v>
      </c>
      <c r="D46" s="3" t="s">
        <v>4</v>
      </c>
      <c r="E46" s="3" t="s">
        <v>48</v>
      </c>
      <c r="F46" s="3" t="s">
        <v>28</v>
      </c>
      <c r="G46" s="3" t="s">
        <v>39</v>
      </c>
      <c r="H46" s="3" t="s">
        <v>50</v>
      </c>
      <c r="I46" s="3" t="s">
        <v>27</v>
      </c>
      <c r="J46" s="3" t="s">
        <v>29</v>
      </c>
      <c r="K46" s="4">
        <v>43439</v>
      </c>
      <c r="L46" s="3">
        <v>12</v>
      </c>
      <c r="M46" s="3">
        <v>52913</v>
      </c>
      <c r="N46" s="3">
        <v>3218</v>
      </c>
      <c r="O46" s="3">
        <v>4.2</v>
      </c>
      <c r="P46" s="3" t="s">
        <v>42</v>
      </c>
      <c r="Q46" s="3" t="s">
        <v>31</v>
      </c>
      <c r="R46" s="3" t="s">
        <v>64</v>
      </c>
      <c r="S46" s="3" t="s">
        <v>207</v>
      </c>
      <c r="T46" s="3" t="s">
        <v>208</v>
      </c>
    </row>
    <row r="47" spans="1:20" x14ac:dyDescent="0.3">
      <c r="A47" s="3" t="s">
        <v>209</v>
      </c>
      <c r="B47" s="3" t="s">
        <v>35</v>
      </c>
      <c r="C47" s="3" t="s">
        <v>22</v>
      </c>
      <c r="D47" s="3" t="s">
        <v>23</v>
      </c>
      <c r="E47" s="3" t="s">
        <v>37</v>
      </c>
      <c r="F47" s="3" t="s">
        <v>49</v>
      </c>
      <c r="G47" s="3" t="s">
        <v>59</v>
      </c>
      <c r="H47" s="3" t="s">
        <v>71</v>
      </c>
      <c r="I47" s="3" t="s">
        <v>98</v>
      </c>
      <c r="J47" s="3" t="s">
        <v>41</v>
      </c>
      <c r="K47" s="4">
        <v>43238</v>
      </c>
      <c r="L47" s="3">
        <v>1</v>
      </c>
      <c r="M47" s="3">
        <v>74419</v>
      </c>
      <c r="N47" s="3">
        <v>12422</v>
      </c>
      <c r="O47" s="3">
        <v>4.4000000000000004</v>
      </c>
      <c r="P47" s="3" t="s">
        <v>30</v>
      </c>
      <c r="Q47" s="3" t="s">
        <v>31</v>
      </c>
      <c r="R47" s="3" t="s">
        <v>64</v>
      </c>
      <c r="S47" s="3" t="s">
        <v>210</v>
      </c>
      <c r="T47" s="3" t="s">
        <v>211</v>
      </c>
    </row>
    <row r="48" spans="1:20" x14ac:dyDescent="0.3">
      <c r="A48" s="3" t="s">
        <v>212</v>
      </c>
      <c r="B48" s="3" t="s">
        <v>203</v>
      </c>
      <c r="C48" s="3" t="s">
        <v>22</v>
      </c>
      <c r="D48" s="3" t="s">
        <v>23</v>
      </c>
      <c r="E48" s="3" t="s">
        <v>24</v>
      </c>
      <c r="F48" s="3" t="s">
        <v>28</v>
      </c>
      <c r="G48" s="3" t="s">
        <v>26</v>
      </c>
      <c r="H48" s="3" t="s">
        <v>40</v>
      </c>
      <c r="I48" s="3" t="s">
        <v>28</v>
      </c>
      <c r="J48" s="3" t="s">
        <v>41</v>
      </c>
      <c r="K48" s="4">
        <v>45131</v>
      </c>
      <c r="L48" s="3">
        <v>2</v>
      </c>
      <c r="M48" s="3">
        <v>73781</v>
      </c>
      <c r="N48" s="3">
        <v>9713</v>
      </c>
      <c r="O48" s="3">
        <v>5</v>
      </c>
      <c r="P48" s="3" t="s">
        <v>30</v>
      </c>
      <c r="Q48" s="3" t="s">
        <v>31</v>
      </c>
      <c r="R48" s="3" t="s">
        <v>32</v>
      </c>
      <c r="S48" s="3" t="s">
        <v>213</v>
      </c>
      <c r="T48" s="3" t="s">
        <v>214</v>
      </c>
    </row>
    <row r="49" spans="1:20" x14ac:dyDescent="0.3">
      <c r="A49" s="3" t="s">
        <v>215</v>
      </c>
      <c r="B49" s="3" t="s">
        <v>143</v>
      </c>
      <c r="C49" s="3" t="s">
        <v>69</v>
      </c>
      <c r="D49" s="3" t="s">
        <v>70</v>
      </c>
      <c r="E49" s="3" t="s">
        <v>24</v>
      </c>
      <c r="F49" s="3" t="s">
        <v>27</v>
      </c>
      <c r="G49" s="3" t="s">
        <v>26</v>
      </c>
      <c r="H49" s="3" t="s">
        <v>71</v>
      </c>
      <c r="I49" s="3" t="s">
        <v>28</v>
      </c>
      <c r="J49" s="3" t="s">
        <v>29</v>
      </c>
      <c r="K49" s="4">
        <v>44866</v>
      </c>
      <c r="L49" s="3">
        <v>7</v>
      </c>
      <c r="M49" s="3">
        <v>28026</v>
      </c>
      <c r="N49" s="3">
        <v>13016</v>
      </c>
      <c r="O49" s="3">
        <v>4.2</v>
      </c>
      <c r="P49" s="3" t="s">
        <v>30</v>
      </c>
      <c r="Q49" s="3" t="s">
        <v>60</v>
      </c>
      <c r="R49" s="3" t="s">
        <v>51</v>
      </c>
      <c r="S49" s="3" t="s">
        <v>216</v>
      </c>
      <c r="T49" s="3" t="s">
        <v>217</v>
      </c>
    </row>
    <row r="50" spans="1:20" x14ac:dyDescent="0.3">
      <c r="A50" s="3" t="s">
        <v>218</v>
      </c>
      <c r="B50" s="3" t="s">
        <v>79</v>
      </c>
      <c r="C50" s="3" t="s">
        <v>85</v>
      </c>
      <c r="D50" s="3" t="s">
        <v>23</v>
      </c>
      <c r="E50" s="3" t="s">
        <v>24</v>
      </c>
      <c r="F50" s="3" t="s">
        <v>27</v>
      </c>
      <c r="G50" s="3" t="s">
        <v>59</v>
      </c>
      <c r="H50" s="3" t="s">
        <v>50</v>
      </c>
      <c r="I50" s="3" t="s">
        <v>98</v>
      </c>
      <c r="J50" s="3" t="s">
        <v>41</v>
      </c>
      <c r="K50" s="4">
        <v>44053</v>
      </c>
      <c r="L50" s="3">
        <v>2</v>
      </c>
      <c r="M50" s="3">
        <v>46697</v>
      </c>
      <c r="N50" s="3">
        <v>13061</v>
      </c>
      <c r="O50" s="3">
        <v>4.8</v>
      </c>
      <c r="P50" s="3" t="s">
        <v>42</v>
      </c>
      <c r="Q50" s="3" t="s">
        <v>60</v>
      </c>
      <c r="R50" s="3" t="s">
        <v>64</v>
      </c>
      <c r="S50" s="3" t="s">
        <v>219</v>
      </c>
      <c r="T50" s="3" t="s">
        <v>220</v>
      </c>
    </row>
    <row r="51" spans="1:20" x14ac:dyDescent="0.3">
      <c r="A51" s="3" t="s">
        <v>221</v>
      </c>
      <c r="B51" s="3" t="s">
        <v>109</v>
      </c>
      <c r="C51" s="3" t="s">
        <v>56</v>
      </c>
      <c r="D51" s="3" t="s">
        <v>4</v>
      </c>
      <c r="E51" s="3" t="s">
        <v>37</v>
      </c>
      <c r="F51" s="3" t="s">
        <v>28</v>
      </c>
      <c r="G51" s="3" t="s">
        <v>81</v>
      </c>
      <c r="H51" s="3" t="s">
        <v>40</v>
      </c>
      <c r="I51" s="3" t="s">
        <v>28</v>
      </c>
      <c r="J51" s="3" t="s">
        <v>29</v>
      </c>
      <c r="K51" s="4">
        <v>43852</v>
      </c>
      <c r="L51" s="3">
        <v>6</v>
      </c>
      <c r="M51" s="3">
        <v>49547</v>
      </c>
      <c r="N51" s="3">
        <v>2222</v>
      </c>
      <c r="O51" s="3">
        <v>3.2</v>
      </c>
      <c r="P51" s="3" t="s">
        <v>42</v>
      </c>
      <c r="Q51" s="3" t="s">
        <v>31</v>
      </c>
      <c r="R51" s="3" t="s">
        <v>51</v>
      </c>
      <c r="S51" s="3" t="s">
        <v>222</v>
      </c>
      <c r="T51" s="3" t="s">
        <v>223</v>
      </c>
    </row>
    <row r="52" spans="1:20" x14ac:dyDescent="0.3">
      <c r="A52" s="3" t="s">
        <v>224</v>
      </c>
      <c r="B52" s="3" t="s">
        <v>143</v>
      </c>
      <c r="C52" s="3" t="s">
        <v>56</v>
      </c>
      <c r="D52" s="3" t="s">
        <v>23</v>
      </c>
      <c r="E52" s="3" t="s">
        <v>58</v>
      </c>
      <c r="F52" s="3" t="s">
        <v>27</v>
      </c>
      <c r="G52" s="3" t="s">
        <v>59</v>
      </c>
      <c r="H52" s="3" t="s">
        <v>40</v>
      </c>
      <c r="I52" s="3" t="s">
        <v>98</v>
      </c>
      <c r="J52" s="3" t="s">
        <v>41</v>
      </c>
      <c r="K52" s="4">
        <v>43859</v>
      </c>
      <c r="L52" s="3">
        <v>8</v>
      </c>
      <c r="M52" s="3">
        <v>82605</v>
      </c>
      <c r="N52" s="3">
        <v>8231</v>
      </c>
      <c r="O52" s="3">
        <v>3.2</v>
      </c>
      <c r="P52" s="3" t="s">
        <v>30</v>
      </c>
      <c r="Q52" s="3" t="s">
        <v>60</v>
      </c>
      <c r="R52" s="3" t="s">
        <v>64</v>
      </c>
      <c r="S52" s="3" t="s">
        <v>225</v>
      </c>
      <c r="T52" s="3" t="s">
        <v>226</v>
      </c>
    </row>
    <row r="53" spans="1:20" x14ac:dyDescent="0.3">
      <c r="A53" s="3" t="s">
        <v>227</v>
      </c>
      <c r="B53" s="3" t="s">
        <v>35</v>
      </c>
      <c r="C53" s="3" t="s">
        <v>85</v>
      </c>
      <c r="D53" s="3" t="s">
        <v>86</v>
      </c>
      <c r="E53" s="3" t="s">
        <v>24</v>
      </c>
      <c r="F53" s="3" t="s">
        <v>38</v>
      </c>
      <c r="G53" s="3" t="s">
        <v>26</v>
      </c>
      <c r="H53" s="3" t="s">
        <v>50</v>
      </c>
      <c r="I53" s="3" t="s">
        <v>27</v>
      </c>
      <c r="J53" s="3" t="s">
        <v>41</v>
      </c>
      <c r="K53" s="4">
        <v>43215</v>
      </c>
      <c r="L53" s="3">
        <v>8</v>
      </c>
      <c r="M53" s="3">
        <v>89720</v>
      </c>
      <c r="N53" s="3">
        <v>6984</v>
      </c>
      <c r="O53" s="3">
        <v>3.2</v>
      </c>
      <c r="P53" s="3" t="s">
        <v>30</v>
      </c>
      <c r="Q53" s="3" t="s">
        <v>60</v>
      </c>
      <c r="R53" s="3" t="s">
        <v>32</v>
      </c>
      <c r="S53" s="3" t="s">
        <v>228</v>
      </c>
      <c r="T53" s="3" t="s">
        <v>229</v>
      </c>
    </row>
    <row r="54" spans="1:20" x14ac:dyDescent="0.3">
      <c r="A54" s="3" t="s">
        <v>230</v>
      </c>
      <c r="B54" s="3" t="s">
        <v>35</v>
      </c>
      <c r="C54" s="3" t="s">
        <v>56</v>
      </c>
      <c r="D54" s="3" t="s">
        <v>23</v>
      </c>
      <c r="E54" s="3" t="s">
        <v>58</v>
      </c>
      <c r="F54" s="3" t="s">
        <v>38</v>
      </c>
      <c r="G54" s="3" t="s">
        <v>81</v>
      </c>
      <c r="H54" s="3" t="s">
        <v>50</v>
      </c>
      <c r="I54" s="3" t="s">
        <v>38</v>
      </c>
      <c r="J54" s="3" t="s">
        <v>41</v>
      </c>
      <c r="K54" s="4">
        <v>43504</v>
      </c>
      <c r="L54" s="3">
        <v>15</v>
      </c>
      <c r="M54" s="3">
        <v>35293</v>
      </c>
      <c r="N54" s="3">
        <v>7096</v>
      </c>
      <c r="O54" s="3">
        <v>4.3</v>
      </c>
      <c r="P54" s="3" t="s">
        <v>42</v>
      </c>
      <c r="Q54" s="3" t="s">
        <v>60</v>
      </c>
      <c r="R54" s="3" t="s">
        <v>51</v>
      </c>
      <c r="S54" s="3" t="s">
        <v>231</v>
      </c>
      <c r="T54" s="3" t="s">
        <v>232</v>
      </c>
    </row>
    <row r="55" spans="1:20" x14ac:dyDescent="0.3">
      <c r="A55" s="3" t="s">
        <v>233</v>
      </c>
      <c r="B55" s="3" t="s">
        <v>136</v>
      </c>
      <c r="C55" s="3" t="s">
        <v>22</v>
      </c>
      <c r="D55" s="3" t="s">
        <v>4</v>
      </c>
      <c r="E55" s="3" t="s">
        <v>58</v>
      </c>
      <c r="F55" s="3" t="s">
        <v>98</v>
      </c>
      <c r="G55" s="3" t="s">
        <v>59</v>
      </c>
      <c r="H55" s="3" t="s">
        <v>71</v>
      </c>
      <c r="I55" s="3" t="s">
        <v>49</v>
      </c>
      <c r="J55" s="3" t="s">
        <v>41</v>
      </c>
      <c r="K55" s="4">
        <v>45257</v>
      </c>
      <c r="L55" s="3">
        <v>15</v>
      </c>
      <c r="M55" s="3">
        <v>26685</v>
      </c>
      <c r="N55" s="3">
        <v>7517</v>
      </c>
      <c r="O55" s="3">
        <v>3.2</v>
      </c>
      <c r="P55" s="3" t="s">
        <v>42</v>
      </c>
      <c r="Q55" s="3" t="s">
        <v>31</v>
      </c>
      <c r="R55" s="3" t="s">
        <v>51</v>
      </c>
      <c r="S55" s="3" t="s">
        <v>234</v>
      </c>
      <c r="T55" s="3" t="s">
        <v>235</v>
      </c>
    </row>
    <row r="56" spans="1:20" x14ac:dyDescent="0.3">
      <c r="A56" s="3" t="s">
        <v>236</v>
      </c>
      <c r="B56" s="3" t="s">
        <v>125</v>
      </c>
      <c r="C56" s="3" t="s">
        <v>69</v>
      </c>
      <c r="D56" s="3" t="s">
        <v>86</v>
      </c>
      <c r="E56" s="3" t="s">
        <v>37</v>
      </c>
      <c r="F56" s="3" t="s">
        <v>98</v>
      </c>
      <c r="G56" s="3" t="s">
        <v>59</v>
      </c>
      <c r="H56" s="3" t="s">
        <v>97</v>
      </c>
      <c r="I56" s="3" t="s">
        <v>49</v>
      </c>
      <c r="J56" s="3" t="s">
        <v>29</v>
      </c>
      <c r="K56" s="4">
        <v>44710</v>
      </c>
      <c r="L56" s="3">
        <v>15</v>
      </c>
      <c r="M56" s="3">
        <v>66239</v>
      </c>
      <c r="N56" s="3">
        <v>5203</v>
      </c>
      <c r="O56" s="3">
        <v>3.1</v>
      </c>
      <c r="P56" s="3" t="s">
        <v>30</v>
      </c>
      <c r="Q56" s="3" t="s">
        <v>43</v>
      </c>
      <c r="R56" s="3" t="s">
        <v>51</v>
      </c>
      <c r="S56" s="3" t="s">
        <v>237</v>
      </c>
      <c r="T56" s="3" t="s">
        <v>238</v>
      </c>
    </row>
    <row r="57" spans="1:20" x14ac:dyDescent="0.3">
      <c r="A57" s="3" t="s">
        <v>239</v>
      </c>
      <c r="B57" s="3" t="s">
        <v>171</v>
      </c>
      <c r="C57" s="3" t="s">
        <v>36</v>
      </c>
      <c r="D57" s="3" t="s">
        <v>70</v>
      </c>
      <c r="E57" s="3" t="s">
        <v>24</v>
      </c>
      <c r="F57" s="3" t="s">
        <v>28</v>
      </c>
      <c r="G57" s="3" t="s">
        <v>81</v>
      </c>
      <c r="H57" s="3" t="s">
        <v>71</v>
      </c>
      <c r="I57" s="3" t="s">
        <v>98</v>
      </c>
      <c r="J57" s="3" t="s">
        <v>29</v>
      </c>
      <c r="K57" s="4">
        <v>43394</v>
      </c>
      <c r="L57" s="3">
        <v>1</v>
      </c>
      <c r="M57" s="3">
        <v>81864</v>
      </c>
      <c r="N57" s="3">
        <v>2935</v>
      </c>
      <c r="O57" s="3">
        <v>4.7</v>
      </c>
      <c r="P57" s="3" t="s">
        <v>42</v>
      </c>
      <c r="Q57" s="3" t="s">
        <v>60</v>
      </c>
      <c r="R57" s="3" t="s">
        <v>51</v>
      </c>
      <c r="S57" s="3" t="s">
        <v>240</v>
      </c>
      <c r="T57" s="3" t="s">
        <v>241</v>
      </c>
    </row>
    <row r="58" spans="1:20" x14ac:dyDescent="0.3">
      <c r="A58" s="3" t="s">
        <v>242</v>
      </c>
      <c r="B58" s="3" t="s">
        <v>55</v>
      </c>
      <c r="C58" s="3" t="s">
        <v>36</v>
      </c>
      <c r="D58" s="3" t="s">
        <v>70</v>
      </c>
      <c r="E58" s="3" t="s">
        <v>37</v>
      </c>
      <c r="F58" s="3" t="s">
        <v>28</v>
      </c>
      <c r="G58" s="3" t="s">
        <v>26</v>
      </c>
      <c r="H58" s="3" t="s">
        <v>97</v>
      </c>
      <c r="I58" s="3" t="s">
        <v>49</v>
      </c>
      <c r="J58" s="3" t="s">
        <v>41</v>
      </c>
      <c r="K58" s="4">
        <v>44661</v>
      </c>
      <c r="L58" s="3">
        <v>1</v>
      </c>
      <c r="M58" s="3">
        <v>89274</v>
      </c>
      <c r="N58" s="3">
        <v>8159</v>
      </c>
      <c r="O58" s="3">
        <v>4.5</v>
      </c>
      <c r="P58" s="3" t="s">
        <v>42</v>
      </c>
      <c r="Q58" s="3" t="s">
        <v>60</v>
      </c>
      <c r="R58" s="3" t="s">
        <v>64</v>
      </c>
      <c r="S58" s="3" t="s">
        <v>243</v>
      </c>
      <c r="T58" s="3" t="s">
        <v>244</v>
      </c>
    </row>
    <row r="59" spans="1:20" x14ac:dyDescent="0.3">
      <c r="A59" s="3" t="s">
        <v>245</v>
      </c>
      <c r="B59" s="3" t="s">
        <v>136</v>
      </c>
      <c r="C59" s="3" t="s">
        <v>36</v>
      </c>
      <c r="D59" s="3" t="s">
        <v>86</v>
      </c>
      <c r="E59" s="3" t="s">
        <v>58</v>
      </c>
      <c r="F59" s="3" t="s">
        <v>27</v>
      </c>
      <c r="G59" s="3" t="s">
        <v>59</v>
      </c>
      <c r="H59" s="3" t="s">
        <v>71</v>
      </c>
      <c r="I59" s="3" t="s">
        <v>98</v>
      </c>
      <c r="J59" s="3" t="s">
        <v>41</v>
      </c>
      <c r="K59" s="4">
        <v>43130</v>
      </c>
      <c r="L59" s="3">
        <v>5</v>
      </c>
      <c r="M59" s="3">
        <v>76914</v>
      </c>
      <c r="N59" s="3">
        <v>12303</v>
      </c>
      <c r="O59" s="3">
        <v>4.3</v>
      </c>
      <c r="P59" s="3" t="s">
        <v>42</v>
      </c>
      <c r="Q59" s="3" t="s">
        <v>60</v>
      </c>
      <c r="R59" s="3" t="s">
        <v>64</v>
      </c>
      <c r="S59" s="3" t="s">
        <v>246</v>
      </c>
      <c r="T59" s="3" t="s">
        <v>247</v>
      </c>
    </row>
    <row r="60" spans="1:20" x14ac:dyDescent="0.3">
      <c r="A60" s="3" t="s">
        <v>248</v>
      </c>
      <c r="B60" s="3" t="s">
        <v>125</v>
      </c>
      <c r="C60" s="3" t="s">
        <v>102</v>
      </c>
      <c r="D60" s="3" t="s">
        <v>70</v>
      </c>
      <c r="E60" s="3" t="s">
        <v>24</v>
      </c>
      <c r="F60" s="3" t="s">
        <v>28</v>
      </c>
      <c r="G60" s="3" t="s">
        <v>26</v>
      </c>
      <c r="H60" s="3" t="s">
        <v>50</v>
      </c>
      <c r="I60" s="3" t="s">
        <v>98</v>
      </c>
      <c r="J60" s="3" t="s">
        <v>41</v>
      </c>
      <c r="K60" s="4">
        <v>44561</v>
      </c>
      <c r="L60" s="3">
        <v>11</v>
      </c>
      <c r="M60" s="3">
        <v>77478</v>
      </c>
      <c r="N60" s="3">
        <v>10481</v>
      </c>
      <c r="O60" s="3">
        <v>3.5</v>
      </c>
      <c r="P60" s="3" t="s">
        <v>30</v>
      </c>
      <c r="Q60" s="3" t="s">
        <v>31</v>
      </c>
      <c r="R60" s="3" t="s">
        <v>64</v>
      </c>
      <c r="S60" s="3" t="s">
        <v>249</v>
      </c>
      <c r="T60" s="3" t="s">
        <v>250</v>
      </c>
    </row>
    <row r="61" spans="1:20" x14ac:dyDescent="0.3">
      <c r="A61" s="3" t="s">
        <v>251</v>
      </c>
      <c r="B61" s="3" t="s">
        <v>90</v>
      </c>
      <c r="C61" s="3" t="s">
        <v>69</v>
      </c>
      <c r="D61" s="3" t="s">
        <v>23</v>
      </c>
      <c r="E61" s="3" t="s">
        <v>58</v>
      </c>
      <c r="F61" s="3" t="s">
        <v>49</v>
      </c>
      <c r="G61" s="3" t="s">
        <v>81</v>
      </c>
      <c r="H61" s="3" t="s">
        <v>27</v>
      </c>
      <c r="I61" s="3" t="s">
        <v>25</v>
      </c>
      <c r="J61" s="3" t="s">
        <v>41</v>
      </c>
      <c r="K61" s="4">
        <v>45212</v>
      </c>
      <c r="L61" s="3">
        <v>8</v>
      </c>
      <c r="M61" s="3">
        <v>54501</v>
      </c>
      <c r="N61" s="3">
        <v>10423</v>
      </c>
      <c r="O61" s="3">
        <v>3.5</v>
      </c>
      <c r="P61" s="3" t="s">
        <v>30</v>
      </c>
      <c r="Q61" s="3" t="s">
        <v>43</v>
      </c>
      <c r="R61" s="3" t="s">
        <v>32</v>
      </c>
      <c r="S61" s="3" t="s">
        <v>252</v>
      </c>
      <c r="T61" s="3" t="s">
        <v>253</v>
      </c>
    </row>
    <row r="62" spans="1:20" x14ac:dyDescent="0.3">
      <c r="A62" s="3" t="s">
        <v>254</v>
      </c>
      <c r="B62" s="3" t="s">
        <v>21</v>
      </c>
      <c r="C62" s="3" t="s">
        <v>69</v>
      </c>
      <c r="D62" s="3" t="s">
        <v>70</v>
      </c>
      <c r="E62" s="3" t="s">
        <v>80</v>
      </c>
      <c r="F62" s="3" t="s">
        <v>98</v>
      </c>
      <c r="G62" s="3" t="s">
        <v>39</v>
      </c>
      <c r="H62" s="3" t="s">
        <v>27</v>
      </c>
      <c r="I62" s="3" t="s">
        <v>38</v>
      </c>
      <c r="J62" s="3" t="s">
        <v>41</v>
      </c>
      <c r="K62" s="4">
        <v>45501</v>
      </c>
      <c r="L62" s="3">
        <v>2</v>
      </c>
      <c r="M62" s="3">
        <v>52340</v>
      </c>
      <c r="N62" s="3">
        <v>14594</v>
      </c>
      <c r="O62" s="3">
        <v>4.8</v>
      </c>
      <c r="P62" s="3" t="s">
        <v>30</v>
      </c>
      <c r="Q62" s="3" t="s">
        <v>60</v>
      </c>
      <c r="R62" s="3" t="s">
        <v>51</v>
      </c>
      <c r="S62" s="3" t="s">
        <v>255</v>
      </c>
      <c r="T62" s="3" t="s">
        <v>256</v>
      </c>
    </row>
    <row r="63" spans="1:20" x14ac:dyDescent="0.3">
      <c r="A63" s="3" t="s">
        <v>257</v>
      </c>
      <c r="B63" s="3" t="s">
        <v>129</v>
      </c>
      <c r="C63" s="3" t="s">
        <v>85</v>
      </c>
      <c r="D63" s="3" t="s">
        <v>57</v>
      </c>
      <c r="E63" s="3" t="s">
        <v>24</v>
      </c>
      <c r="F63" s="3" t="s">
        <v>98</v>
      </c>
      <c r="G63" s="3" t="s">
        <v>59</v>
      </c>
      <c r="H63" s="3" t="s">
        <v>40</v>
      </c>
      <c r="I63" s="3" t="s">
        <v>25</v>
      </c>
      <c r="J63" s="3" t="s">
        <v>41</v>
      </c>
      <c r="K63" s="4">
        <v>44829</v>
      </c>
      <c r="L63" s="3">
        <v>12</v>
      </c>
      <c r="M63" s="3">
        <v>43790</v>
      </c>
      <c r="N63" s="3">
        <v>10019</v>
      </c>
      <c r="O63" s="3">
        <v>3</v>
      </c>
      <c r="P63" s="3" t="s">
        <v>42</v>
      </c>
      <c r="Q63" s="3" t="s">
        <v>60</v>
      </c>
      <c r="R63" s="3" t="s">
        <v>64</v>
      </c>
      <c r="S63" s="3" t="s">
        <v>258</v>
      </c>
      <c r="T63" s="3" t="s">
        <v>259</v>
      </c>
    </row>
    <row r="64" spans="1:20" x14ac:dyDescent="0.3">
      <c r="A64" s="3" t="s">
        <v>260</v>
      </c>
      <c r="B64" s="3" t="s">
        <v>47</v>
      </c>
      <c r="C64" s="3" t="s">
        <v>69</v>
      </c>
      <c r="D64" s="3" t="s">
        <v>70</v>
      </c>
      <c r="E64" s="3" t="s">
        <v>48</v>
      </c>
      <c r="F64" s="3" t="s">
        <v>49</v>
      </c>
      <c r="G64" s="3" t="s">
        <v>39</v>
      </c>
      <c r="H64" s="3" t="s">
        <v>50</v>
      </c>
      <c r="I64" s="3" t="s">
        <v>25</v>
      </c>
      <c r="J64" s="3" t="s">
        <v>41</v>
      </c>
      <c r="K64" s="4">
        <v>43151</v>
      </c>
      <c r="L64" s="3">
        <v>0</v>
      </c>
      <c r="M64" s="3">
        <v>80598</v>
      </c>
      <c r="N64" s="3">
        <v>3788</v>
      </c>
      <c r="O64" s="3">
        <v>3.5</v>
      </c>
      <c r="P64" s="3" t="s">
        <v>42</v>
      </c>
      <c r="Q64" s="3" t="s">
        <v>31</v>
      </c>
      <c r="R64" s="3" t="s">
        <v>51</v>
      </c>
      <c r="S64" s="3" t="s">
        <v>261</v>
      </c>
      <c r="T64" s="3" t="s">
        <v>262</v>
      </c>
    </row>
    <row r="65" spans="1:20" x14ac:dyDescent="0.3">
      <c r="A65" s="3" t="s">
        <v>263</v>
      </c>
      <c r="B65" s="3" t="s">
        <v>21</v>
      </c>
      <c r="C65" s="3" t="s">
        <v>36</v>
      </c>
      <c r="D65" s="3" t="s">
        <v>57</v>
      </c>
      <c r="E65" s="3" t="s">
        <v>37</v>
      </c>
      <c r="F65" s="3" t="s">
        <v>28</v>
      </c>
      <c r="G65" s="3" t="s">
        <v>39</v>
      </c>
      <c r="H65" s="3" t="s">
        <v>97</v>
      </c>
      <c r="I65" s="3" t="s">
        <v>28</v>
      </c>
      <c r="J65" s="3" t="s">
        <v>29</v>
      </c>
      <c r="K65" s="4">
        <v>44646</v>
      </c>
      <c r="L65" s="3">
        <v>7</v>
      </c>
      <c r="M65" s="3">
        <v>55066</v>
      </c>
      <c r="N65" s="3">
        <v>6723</v>
      </c>
      <c r="O65" s="3">
        <v>4.5999999999999996</v>
      </c>
      <c r="P65" s="3" t="s">
        <v>42</v>
      </c>
      <c r="Q65" s="3" t="s">
        <v>60</v>
      </c>
      <c r="R65" s="3" t="s">
        <v>32</v>
      </c>
      <c r="S65" s="3" t="s">
        <v>264</v>
      </c>
      <c r="T65" s="3" t="s">
        <v>265</v>
      </c>
    </row>
    <row r="66" spans="1:20" x14ac:dyDescent="0.3">
      <c r="A66" s="3" t="s">
        <v>266</v>
      </c>
      <c r="B66" s="3" t="s">
        <v>125</v>
      </c>
      <c r="C66" s="3" t="s">
        <v>69</v>
      </c>
      <c r="D66" s="3" t="s">
        <v>70</v>
      </c>
      <c r="E66" s="3" t="s">
        <v>37</v>
      </c>
      <c r="F66" s="3" t="s">
        <v>27</v>
      </c>
      <c r="G66" s="3" t="s">
        <v>81</v>
      </c>
      <c r="H66" s="3" t="s">
        <v>27</v>
      </c>
      <c r="I66" s="3" t="s">
        <v>25</v>
      </c>
      <c r="J66" s="3" t="s">
        <v>41</v>
      </c>
      <c r="K66" s="4">
        <v>45525</v>
      </c>
      <c r="L66" s="3">
        <v>3</v>
      </c>
      <c r="M66" s="3">
        <v>55014</v>
      </c>
      <c r="N66" s="3">
        <v>12575</v>
      </c>
      <c r="O66" s="3">
        <v>4.8</v>
      </c>
      <c r="P66" s="3" t="s">
        <v>42</v>
      </c>
      <c r="Q66" s="3" t="s">
        <v>60</v>
      </c>
      <c r="R66" s="3" t="s">
        <v>64</v>
      </c>
      <c r="S66" s="3" t="s">
        <v>267</v>
      </c>
      <c r="T66" s="3" t="s">
        <v>268</v>
      </c>
    </row>
    <row r="67" spans="1:20" x14ac:dyDescent="0.3">
      <c r="A67" s="3" t="s">
        <v>269</v>
      </c>
      <c r="B67" s="3" t="s">
        <v>175</v>
      </c>
      <c r="C67" s="3" t="s">
        <v>85</v>
      </c>
      <c r="D67" s="3" t="s">
        <v>86</v>
      </c>
      <c r="E67" s="3" t="s">
        <v>80</v>
      </c>
      <c r="F67" s="3" t="s">
        <v>49</v>
      </c>
      <c r="G67" s="3" t="s">
        <v>26</v>
      </c>
      <c r="H67" s="3" t="s">
        <v>40</v>
      </c>
      <c r="I67" s="3" t="s">
        <v>28</v>
      </c>
      <c r="J67" s="3" t="s">
        <v>41</v>
      </c>
      <c r="K67" s="4">
        <v>44781</v>
      </c>
      <c r="L67" s="3">
        <v>12</v>
      </c>
      <c r="M67" s="3">
        <v>49222</v>
      </c>
      <c r="N67" s="3">
        <v>2137</v>
      </c>
      <c r="O67" s="3">
        <v>3.6</v>
      </c>
      <c r="P67" s="3" t="s">
        <v>30</v>
      </c>
      <c r="Q67" s="3" t="s">
        <v>31</v>
      </c>
      <c r="R67" s="3" t="s">
        <v>51</v>
      </c>
      <c r="S67" s="3" t="s">
        <v>270</v>
      </c>
      <c r="T67" s="3" t="s">
        <v>271</v>
      </c>
    </row>
    <row r="68" spans="1:20" x14ac:dyDescent="0.3">
      <c r="A68" s="3" t="s">
        <v>272</v>
      </c>
      <c r="B68" s="3" t="s">
        <v>136</v>
      </c>
      <c r="C68" s="3" t="s">
        <v>102</v>
      </c>
      <c r="D68" s="3" t="s">
        <v>70</v>
      </c>
      <c r="E68" s="3" t="s">
        <v>24</v>
      </c>
      <c r="F68" s="3" t="s">
        <v>98</v>
      </c>
      <c r="G68" s="3" t="s">
        <v>59</v>
      </c>
      <c r="H68" s="3" t="s">
        <v>50</v>
      </c>
      <c r="I68" s="3" t="s">
        <v>25</v>
      </c>
      <c r="J68" s="3" t="s">
        <v>29</v>
      </c>
      <c r="K68" s="4">
        <v>44527</v>
      </c>
      <c r="L68" s="3">
        <v>9</v>
      </c>
      <c r="M68" s="3">
        <v>67909</v>
      </c>
      <c r="N68" s="3">
        <v>8041</v>
      </c>
      <c r="O68" s="3">
        <v>3.2</v>
      </c>
      <c r="P68" s="3" t="s">
        <v>42</v>
      </c>
      <c r="Q68" s="3" t="s">
        <v>31</v>
      </c>
      <c r="R68" s="3" t="s">
        <v>64</v>
      </c>
      <c r="S68" s="3" t="s">
        <v>273</v>
      </c>
      <c r="T68" s="3" t="s">
        <v>274</v>
      </c>
    </row>
    <row r="69" spans="1:20" x14ac:dyDescent="0.3">
      <c r="A69" s="3" t="s">
        <v>275</v>
      </c>
      <c r="B69" s="3" t="s">
        <v>136</v>
      </c>
      <c r="C69" s="3" t="s">
        <v>22</v>
      </c>
      <c r="D69" s="3" t="s">
        <v>23</v>
      </c>
      <c r="E69" s="3" t="s">
        <v>48</v>
      </c>
      <c r="F69" s="3" t="s">
        <v>38</v>
      </c>
      <c r="G69" s="3" t="s">
        <v>81</v>
      </c>
      <c r="H69" s="3" t="s">
        <v>97</v>
      </c>
      <c r="I69" s="3" t="s">
        <v>49</v>
      </c>
      <c r="J69" s="3" t="s">
        <v>29</v>
      </c>
      <c r="K69" s="4">
        <v>44934</v>
      </c>
      <c r="L69" s="3">
        <v>6</v>
      </c>
      <c r="M69" s="3">
        <v>32308</v>
      </c>
      <c r="N69" s="3">
        <v>10585</v>
      </c>
      <c r="O69" s="3">
        <v>4.9000000000000004</v>
      </c>
      <c r="P69" s="3" t="s">
        <v>42</v>
      </c>
      <c r="Q69" s="3" t="s">
        <v>43</v>
      </c>
      <c r="R69" s="3" t="s">
        <v>64</v>
      </c>
      <c r="S69" s="3" t="s">
        <v>276</v>
      </c>
      <c r="T69" s="3" t="s">
        <v>277</v>
      </c>
    </row>
    <row r="70" spans="1:20" x14ac:dyDescent="0.3">
      <c r="A70" s="3" t="s">
        <v>278</v>
      </c>
      <c r="B70" s="3" t="s">
        <v>203</v>
      </c>
      <c r="C70" s="3" t="s">
        <v>85</v>
      </c>
      <c r="D70" s="3" t="s">
        <v>86</v>
      </c>
      <c r="E70" s="3" t="s">
        <v>24</v>
      </c>
      <c r="F70" s="3" t="s">
        <v>38</v>
      </c>
      <c r="G70" s="3" t="s">
        <v>81</v>
      </c>
      <c r="H70" s="3" t="s">
        <v>40</v>
      </c>
      <c r="I70" s="3" t="s">
        <v>28</v>
      </c>
      <c r="J70" s="3" t="s">
        <v>29</v>
      </c>
      <c r="K70" s="4">
        <v>44591</v>
      </c>
      <c r="L70" s="3">
        <v>15</v>
      </c>
      <c r="M70" s="3">
        <v>43038</v>
      </c>
      <c r="N70" s="3">
        <v>14101</v>
      </c>
      <c r="O70" s="3">
        <v>3.1</v>
      </c>
      <c r="P70" s="3" t="s">
        <v>42</v>
      </c>
      <c r="Q70" s="3" t="s">
        <v>31</v>
      </c>
      <c r="R70" s="3" t="s">
        <v>64</v>
      </c>
      <c r="S70" s="3" t="s">
        <v>279</v>
      </c>
      <c r="T70" s="3" t="s">
        <v>280</v>
      </c>
    </row>
    <row r="71" spans="1:20" x14ac:dyDescent="0.3">
      <c r="A71" s="3" t="s">
        <v>281</v>
      </c>
      <c r="B71" s="3" t="s">
        <v>90</v>
      </c>
      <c r="C71" s="3" t="s">
        <v>69</v>
      </c>
      <c r="D71" s="3" t="s">
        <v>23</v>
      </c>
      <c r="E71" s="3" t="s">
        <v>58</v>
      </c>
      <c r="F71" s="3" t="s">
        <v>28</v>
      </c>
      <c r="G71" s="3" t="s">
        <v>59</v>
      </c>
      <c r="H71" s="3" t="s">
        <v>50</v>
      </c>
      <c r="I71" s="3" t="s">
        <v>25</v>
      </c>
      <c r="J71" s="3" t="s">
        <v>29</v>
      </c>
      <c r="K71" s="4">
        <v>44384</v>
      </c>
      <c r="L71" s="3">
        <v>12</v>
      </c>
      <c r="M71" s="3">
        <v>29504</v>
      </c>
      <c r="N71" s="3">
        <v>9716</v>
      </c>
      <c r="O71" s="3">
        <v>4.7</v>
      </c>
      <c r="P71" s="3" t="s">
        <v>42</v>
      </c>
      <c r="Q71" s="3" t="s">
        <v>60</v>
      </c>
      <c r="R71" s="3" t="s">
        <v>64</v>
      </c>
      <c r="S71" s="3" t="s">
        <v>282</v>
      </c>
      <c r="T71" s="3" t="s">
        <v>283</v>
      </c>
    </row>
    <row r="72" spans="1:20" x14ac:dyDescent="0.3">
      <c r="A72" s="3" t="s">
        <v>284</v>
      </c>
      <c r="B72" s="3" t="s">
        <v>125</v>
      </c>
      <c r="C72" s="3" t="s">
        <v>22</v>
      </c>
      <c r="D72" s="3" t="s">
        <v>4</v>
      </c>
      <c r="E72" s="3" t="s">
        <v>24</v>
      </c>
      <c r="F72" s="3" t="s">
        <v>28</v>
      </c>
      <c r="G72" s="3" t="s">
        <v>26</v>
      </c>
      <c r="H72" s="3" t="s">
        <v>97</v>
      </c>
      <c r="I72" s="3" t="s">
        <v>98</v>
      </c>
      <c r="J72" s="3" t="s">
        <v>29</v>
      </c>
      <c r="K72" s="4">
        <v>44327</v>
      </c>
      <c r="L72" s="3">
        <v>3</v>
      </c>
      <c r="M72" s="3">
        <v>75348</v>
      </c>
      <c r="N72" s="3">
        <v>3829</v>
      </c>
      <c r="O72" s="3">
        <v>3</v>
      </c>
      <c r="P72" s="3" t="s">
        <v>42</v>
      </c>
      <c r="Q72" s="3" t="s">
        <v>31</v>
      </c>
      <c r="R72" s="3" t="s">
        <v>64</v>
      </c>
      <c r="S72" s="3" t="s">
        <v>285</v>
      </c>
      <c r="T72" s="3" t="s">
        <v>286</v>
      </c>
    </row>
    <row r="73" spans="1:20" x14ac:dyDescent="0.3">
      <c r="A73" s="3" t="s">
        <v>287</v>
      </c>
      <c r="B73" s="3" t="s">
        <v>129</v>
      </c>
      <c r="C73" s="3" t="s">
        <v>22</v>
      </c>
      <c r="D73" s="3" t="s">
        <v>86</v>
      </c>
      <c r="E73" s="3" t="s">
        <v>24</v>
      </c>
      <c r="F73" s="3" t="s">
        <v>28</v>
      </c>
      <c r="G73" s="3" t="s">
        <v>39</v>
      </c>
      <c r="H73" s="3" t="s">
        <v>50</v>
      </c>
      <c r="I73" s="3" t="s">
        <v>98</v>
      </c>
      <c r="J73" s="3" t="s">
        <v>29</v>
      </c>
      <c r="K73" s="4">
        <v>44302</v>
      </c>
      <c r="L73" s="3">
        <v>3</v>
      </c>
      <c r="M73" s="3">
        <v>42595</v>
      </c>
      <c r="N73" s="3">
        <v>3012</v>
      </c>
      <c r="O73" s="3">
        <v>4.3</v>
      </c>
      <c r="P73" s="3" t="s">
        <v>42</v>
      </c>
      <c r="Q73" s="3" t="s">
        <v>31</v>
      </c>
      <c r="R73" s="3" t="s">
        <v>51</v>
      </c>
      <c r="S73" s="3" t="s">
        <v>288</v>
      </c>
      <c r="T73" s="3" t="s">
        <v>289</v>
      </c>
    </row>
    <row r="74" spans="1:20" x14ac:dyDescent="0.3">
      <c r="A74" s="3" t="s">
        <v>290</v>
      </c>
      <c r="B74" s="3" t="s">
        <v>143</v>
      </c>
      <c r="C74" s="3" t="s">
        <v>85</v>
      </c>
      <c r="D74" s="3" t="s">
        <v>86</v>
      </c>
      <c r="E74" s="3" t="s">
        <v>80</v>
      </c>
      <c r="F74" s="3" t="s">
        <v>25</v>
      </c>
      <c r="G74" s="3" t="s">
        <v>81</v>
      </c>
      <c r="H74" s="3" t="s">
        <v>71</v>
      </c>
      <c r="I74" s="3" t="s">
        <v>49</v>
      </c>
      <c r="J74" s="3" t="s">
        <v>29</v>
      </c>
      <c r="K74" s="4">
        <v>44819</v>
      </c>
      <c r="L74" s="3">
        <v>9</v>
      </c>
      <c r="M74" s="3">
        <v>75316</v>
      </c>
      <c r="N74" s="3">
        <v>10119</v>
      </c>
      <c r="O74" s="3">
        <v>4.5999999999999996</v>
      </c>
      <c r="P74" s="3" t="s">
        <v>42</v>
      </c>
      <c r="Q74" s="3" t="s">
        <v>31</v>
      </c>
      <c r="R74" s="3" t="s">
        <v>51</v>
      </c>
      <c r="S74" s="3" t="s">
        <v>291</v>
      </c>
      <c r="T74" s="3" t="s">
        <v>292</v>
      </c>
    </row>
    <row r="75" spans="1:20" x14ac:dyDescent="0.3">
      <c r="A75" s="3" t="s">
        <v>293</v>
      </c>
      <c r="B75" s="3" t="s">
        <v>55</v>
      </c>
      <c r="C75" s="3" t="s">
        <v>102</v>
      </c>
      <c r="D75" s="3" t="s">
        <v>57</v>
      </c>
      <c r="E75" s="3" t="s">
        <v>80</v>
      </c>
      <c r="F75" s="3" t="s">
        <v>28</v>
      </c>
      <c r="G75" s="3" t="s">
        <v>39</v>
      </c>
      <c r="H75" s="3" t="s">
        <v>40</v>
      </c>
      <c r="I75" s="3" t="s">
        <v>49</v>
      </c>
      <c r="J75" s="3" t="s">
        <v>41</v>
      </c>
      <c r="K75" s="4">
        <v>43527</v>
      </c>
      <c r="L75" s="3">
        <v>8</v>
      </c>
      <c r="M75" s="3">
        <v>77742</v>
      </c>
      <c r="N75" s="3">
        <v>12489</v>
      </c>
      <c r="O75" s="3">
        <v>4.3</v>
      </c>
      <c r="P75" s="3" t="s">
        <v>30</v>
      </c>
      <c r="Q75" s="3" t="s">
        <v>31</v>
      </c>
      <c r="R75" s="3" t="s">
        <v>51</v>
      </c>
      <c r="S75" s="3" t="s">
        <v>294</v>
      </c>
      <c r="T75" s="3" t="s">
        <v>295</v>
      </c>
    </row>
    <row r="76" spans="1:20" x14ac:dyDescent="0.3">
      <c r="A76" s="3" t="s">
        <v>296</v>
      </c>
      <c r="B76" s="3" t="s">
        <v>143</v>
      </c>
      <c r="C76" s="3" t="s">
        <v>69</v>
      </c>
      <c r="D76" s="3" t="s">
        <v>23</v>
      </c>
      <c r="E76" s="3" t="s">
        <v>24</v>
      </c>
      <c r="F76" s="3" t="s">
        <v>25</v>
      </c>
      <c r="G76" s="3" t="s">
        <v>26</v>
      </c>
      <c r="H76" s="3" t="s">
        <v>71</v>
      </c>
      <c r="I76" s="3" t="s">
        <v>38</v>
      </c>
      <c r="J76" s="3" t="s">
        <v>29</v>
      </c>
      <c r="K76" s="4">
        <v>43139</v>
      </c>
      <c r="L76" s="3">
        <v>6</v>
      </c>
      <c r="M76" s="3">
        <v>94653</v>
      </c>
      <c r="N76" s="3">
        <v>14770</v>
      </c>
      <c r="O76" s="3">
        <v>4.5</v>
      </c>
      <c r="P76" s="3" t="s">
        <v>42</v>
      </c>
      <c r="Q76" s="3" t="s">
        <v>31</v>
      </c>
      <c r="R76" s="3" t="s">
        <v>64</v>
      </c>
      <c r="S76" s="3" t="s">
        <v>297</v>
      </c>
      <c r="T76" s="3" t="s">
        <v>298</v>
      </c>
    </row>
    <row r="77" spans="1:20" x14ac:dyDescent="0.3">
      <c r="A77" s="3" t="s">
        <v>299</v>
      </c>
      <c r="B77" s="3" t="s">
        <v>90</v>
      </c>
      <c r="C77" s="3" t="s">
        <v>85</v>
      </c>
      <c r="D77" s="3" t="s">
        <v>23</v>
      </c>
      <c r="E77" s="3" t="s">
        <v>24</v>
      </c>
      <c r="F77" s="3" t="s">
        <v>49</v>
      </c>
      <c r="G77" s="3" t="s">
        <v>81</v>
      </c>
      <c r="H77" s="3" t="s">
        <v>50</v>
      </c>
      <c r="I77" s="3" t="s">
        <v>49</v>
      </c>
      <c r="J77" s="3" t="s">
        <v>41</v>
      </c>
      <c r="K77" s="4">
        <v>43538</v>
      </c>
      <c r="L77" s="3">
        <v>6</v>
      </c>
      <c r="M77" s="3">
        <v>28747</v>
      </c>
      <c r="N77" s="3">
        <v>12419</v>
      </c>
      <c r="O77" s="3">
        <v>3.1</v>
      </c>
      <c r="P77" s="3" t="s">
        <v>42</v>
      </c>
      <c r="Q77" s="3" t="s">
        <v>43</v>
      </c>
      <c r="R77" s="3" t="s">
        <v>51</v>
      </c>
      <c r="S77" s="3" t="s">
        <v>300</v>
      </c>
      <c r="T77" s="3" t="s">
        <v>301</v>
      </c>
    </row>
    <row r="78" spans="1:20" x14ac:dyDescent="0.3">
      <c r="A78" s="3" t="s">
        <v>302</v>
      </c>
      <c r="B78" s="3" t="s">
        <v>21</v>
      </c>
      <c r="C78" s="3" t="s">
        <v>36</v>
      </c>
      <c r="D78" s="3" t="s">
        <v>70</v>
      </c>
      <c r="E78" s="3" t="s">
        <v>58</v>
      </c>
      <c r="F78" s="3" t="s">
        <v>28</v>
      </c>
      <c r="G78" s="3" t="s">
        <v>59</v>
      </c>
      <c r="H78" s="3" t="s">
        <v>50</v>
      </c>
      <c r="I78" s="3" t="s">
        <v>28</v>
      </c>
      <c r="J78" s="3" t="s">
        <v>41</v>
      </c>
      <c r="K78" s="4">
        <v>45433</v>
      </c>
      <c r="L78" s="3">
        <v>15</v>
      </c>
      <c r="M78" s="3">
        <v>38861</v>
      </c>
      <c r="N78" s="3">
        <v>3515</v>
      </c>
      <c r="O78" s="3">
        <v>4.0999999999999996</v>
      </c>
      <c r="P78" s="3" t="s">
        <v>42</v>
      </c>
      <c r="Q78" s="3" t="s">
        <v>60</v>
      </c>
      <c r="R78" s="3" t="s">
        <v>51</v>
      </c>
      <c r="S78" s="3" t="s">
        <v>303</v>
      </c>
      <c r="T78" s="3" t="s">
        <v>304</v>
      </c>
    </row>
    <row r="79" spans="1:20" x14ac:dyDescent="0.3">
      <c r="A79" s="3" t="s">
        <v>305</v>
      </c>
      <c r="B79" s="3" t="s">
        <v>171</v>
      </c>
      <c r="C79" s="3" t="s">
        <v>69</v>
      </c>
      <c r="D79" s="3" t="s">
        <v>23</v>
      </c>
      <c r="E79" s="3" t="s">
        <v>58</v>
      </c>
      <c r="F79" s="3" t="s">
        <v>49</v>
      </c>
      <c r="G79" s="3" t="s">
        <v>59</v>
      </c>
      <c r="H79" s="3" t="s">
        <v>71</v>
      </c>
      <c r="I79" s="3" t="s">
        <v>27</v>
      </c>
      <c r="J79" s="3" t="s">
        <v>29</v>
      </c>
      <c r="K79" s="4">
        <v>44197</v>
      </c>
      <c r="L79" s="3">
        <v>14</v>
      </c>
      <c r="M79" s="3">
        <v>53625</v>
      </c>
      <c r="N79" s="3">
        <v>11077</v>
      </c>
      <c r="O79" s="3">
        <v>4.5999999999999996</v>
      </c>
      <c r="P79" s="3" t="s">
        <v>30</v>
      </c>
      <c r="Q79" s="3" t="s">
        <v>43</v>
      </c>
      <c r="R79" s="3" t="s">
        <v>64</v>
      </c>
      <c r="S79" s="3" t="s">
        <v>306</v>
      </c>
      <c r="T79" s="3" t="s">
        <v>307</v>
      </c>
    </row>
    <row r="80" spans="1:20" x14ac:dyDescent="0.3">
      <c r="A80" s="3" t="s">
        <v>308</v>
      </c>
      <c r="B80" s="3" t="s">
        <v>109</v>
      </c>
      <c r="C80" s="3" t="s">
        <v>85</v>
      </c>
      <c r="D80" s="3" t="s">
        <v>4</v>
      </c>
      <c r="E80" s="3" t="s">
        <v>24</v>
      </c>
      <c r="F80" s="3" t="s">
        <v>49</v>
      </c>
      <c r="G80" s="3" t="s">
        <v>26</v>
      </c>
      <c r="H80" s="3" t="s">
        <v>27</v>
      </c>
      <c r="I80" s="3" t="s">
        <v>25</v>
      </c>
      <c r="J80" s="3" t="s">
        <v>41</v>
      </c>
      <c r="K80" s="4">
        <v>43136</v>
      </c>
      <c r="L80" s="3">
        <v>10</v>
      </c>
      <c r="M80" s="3">
        <v>43038</v>
      </c>
      <c r="N80" s="3">
        <v>7996</v>
      </c>
      <c r="O80" s="3">
        <v>4.7</v>
      </c>
      <c r="P80" s="3" t="s">
        <v>30</v>
      </c>
      <c r="Q80" s="3" t="s">
        <v>60</v>
      </c>
      <c r="R80" s="3" t="s">
        <v>51</v>
      </c>
      <c r="S80" s="3" t="s">
        <v>309</v>
      </c>
      <c r="T80" s="3" t="s">
        <v>310</v>
      </c>
    </row>
    <row r="81" spans="1:20" x14ac:dyDescent="0.3">
      <c r="A81" s="3" t="s">
        <v>311</v>
      </c>
      <c r="B81" s="3" t="s">
        <v>136</v>
      </c>
      <c r="C81" s="3" t="s">
        <v>102</v>
      </c>
      <c r="D81" s="3" t="s">
        <v>4</v>
      </c>
      <c r="E81" s="3" t="s">
        <v>80</v>
      </c>
      <c r="F81" s="3" t="s">
        <v>27</v>
      </c>
      <c r="G81" s="3" t="s">
        <v>59</v>
      </c>
      <c r="H81" s="3" t="s">
        <v>50</v>
      </c>
      <c r="I81" s="3" t="s">
        <v>98</v>
      </c>
      <c r="J81" s="3" t="s">
        <v>29</v>
      </c>
      <c r="K81" s="4">
        <v>43669</v>
      </c>
      <c r="L81" s="3">
        <v>11</v>
      </c>
      <c r="M81" s="3">
        <v>91924</v>
      </c>
      <c r="N81" s="3">
        <v>7100</v>
      </c>
      <c r="O81" s="3">
        <v>4.2</v>
      </c>
      <c r="P81" s="3" t="s">
        <v>30</v>
      </c>
      <c r="Q81" s="3" t="s">
        <v>31</v>
      </c>
      <c r="R81" s="3" t="s">
        <v>64</v>
      </c>
      <c r="S81" s="3" t="s">
        <v>312</v>
      </c>
      <c r="T81" s="3" t="s">
        <v>313</v>
      </c>
    </row>
    <row r="82" spans="1:20" x14ac:dyDescent="0.3">
      <c r="A82" s="3" t="s">
        <v>314</v>
      </c>
      <c r="B82" s="3" t="s">
        <v>68</v>
      </c>
      <c r="C82" s="3" t="s">
        <v>85</v>
      </c>
      <c r="D82" s="3" t="s">
        <v>86</v>
      </c>
      <c r="E82" s="3" t="s">
        <v>37</v>
      </c>
      <c r="F82" s="3" t="s">
        <v>28</v>
      </c>
      <c r="G82" s="3" t="s">
        <v>81</v>
      </c>
      <c r="H82" s="3" t="s">
        <v>27</v>
      </c>
      <c r="I82" s="3" t="s">
        <v>38</v>
      </c>
      <c r="J82" s="3" t="s">
        <v>41</v>
      </c>
      <c r="K82" s="4">
        <v>43573</v>
      </c>
      <c r="L82" s="3">
        <v>4</v>
      </c>
      <c r="M82" s="3">
        <v>79963</v>
      </c>
      <c r="N82" s="3">
        <v>14971</v>
      </c>
      <c r="O82" s="3">
        <v>4.7</v>
      </c>
      <c r="P82" s="3" t="s">
        <v>42</v>
      </c>
      <c r="Q82" s="3" t="s">
        <v>60</v>
      </c>
      <c r="R82" s="3" t="s">
        <v>51</v>
      </c>
      <c r="S82" s="3" t="s">
        <v>315</v>
      </c>
      <c r="T82" s="3" t="s">
        <v>316</v>
      </c>
    </row>
    <row r="83" spans="1:20" x14ac:dyDescent="0.3">
      <c r="A83" s="3" t="s">
        <v>317</v>
      </c>
      <c r="B83" s="3" t="s">
        <v>47</v>
      </c>
      <c r="C83" s="3" t="s">
        <v>102</v>
      </c>
      <c r="D83" s="3" t="s">
        <v>57</v>
      </c>
      <c r="E83" s="3" t="s">
        <v>37</v>
      </c>
      <c r="F83" s="3" t="s">
        <v>98</v>
      </c>
      <c r="G83" s="3" t="s">
        <v>81</v>
      </c>
      <c r="H83" s="3" t="s">
        <v>50</v>
      </c>
      <c r="I83" s="3" t="s">
        <v>49</v>
      </c>
      <c r="J83" s="3" t="s">
        <v>29</v>
      </c>
      <c r="K83" s="4">
        <v>43736</v>
      </c>
      <c r="L83" s="3">
        <v>11</v>
      </c>
      <c r="M83" s="3">
        <v>89680</v>
      </c>
      <c r="N83" s="3">
        <v>5536</v>
      </c>
      <c r="O83" s="3">
        <v>3.8</v>
      </c>
      <c r="P83" s="3" t="s">
        <v>30</v>
      </c>
      <c r="Q83" s="3" t="s">
        <v>31</v>
      </c>
      <c r="R83" s="3" t="s">
        <v>64</v>
      </c>
      <c r="S83" s="3" t="s">
        <v>318</v>
      </c>
      <c r="T83" s="3" t="s">
        <v>319</v>
      </c>
    </row>
    <row r="84" spans="1:20" x14ac:dyDescent="0.3">
      <c r="A84" s="3" t="s">
        <v>320</v>
      </c>
      <c r="B84" s="3" t="s">
        <v>136</v>
      </c>
      <c r="C84" s="3" t="s">
        <v>22</v>
      </c>
      <c r="D84" s="3" t="s">
        <v>57</v>
      </c>
      <c r="E84" s="3" t="s">
        <v>37</v>
      </c>
      <c r="F84" s="3" t="s">
        <v>27</v>
      </c>
      <c r="G84" s="3" t="s">
        <v>59</v>
      </c>
      <c r="H84" s="3" t="s">
        <v>71</v>
      </c>
      <c r="I84" s="3" t="s">
        <v>27</v>
      </c>
      <c r="J84" s="3" t="s">
        <v>29</v>
      </c>
      <c r="K84" s="4">
        <v>43178</v>
      </c>
      <c r="L84" s="3">
        <v>9</v>
      </c>
      <c r="M84" s="3">
        <v>61803</v>
      </c>
      <c r="N84" s="3">
        <v>10515</v>
      </c>
      <c r="O84" s="3">
        <v>3.7</v>
      </c>
      <c r="P84" s="3" t="s">
        <v>30</v>
      </c>
      <c r="Q84" s="3" t="s">
        <v>43</v>
      </c>
      <c r="R84" s="3" t="s">
        <v>64</v>
      </c>
      <c r="S84" s="3" t="s">
        <v>321</v>
      </c>
      <c r="T84" s="3" t="s">
        <v>322</v>
      </c>
    </row>
    <row r="85" spans="1:20" x14ac:dyDescent="0.3">
      <c r="A85" s="3" t="s">
        <v>323</v>
      </c>
      <c r="B85" s="3" t="s">
        <v>171</v>
      </c>
      <c r="C85" s="3" t="s">
        <v>85</v>
      </c>
      <c r="D85" s="3" t="s">
        <v>23</v>
      </c>
      <c r="E85" s="3" t="s">
        <v>24</v>
      </c>
      <c r="F85" s="3" t="s">
        <v>25</v>
      </c>
      <c r="G85" s="3" t="s">
        <v>26</v>
      </c>
      <c r="H85" s="3" t="s">
        <v>40</v>
      </c>
      <c r="I85" s="3" t="s">
        <v>49</v>
      </c>
      <c r="J85" s="3" t="s">
        <v>41</v>
      </c>
      <c r="K85" s="4">
        <v>43367</v>
      </c>
      <c r="L85" s="3">
        <v>13</v>
      </c>
      <c r="M85" s="3">
        <v>89014</v>
      </c>
      <c r="N85" s="3">
        <v>3793</v>
      </c>
      <c r="O85" s="3">
        <v>3.7</v>
      </c>
      <c r="P85" s="3" t="s">
        <v>30</v>
      </c>
      <c r="Q85" s="3" t="s">
        <v>31</v>
      </c>
      <c r="R85" s="3" t="s">
        <v>51</v>
      </c>
      <c r="S85" s="3" t="s">
        <v>324</v>
      </c>
      <c r="T85" s="3" t="s">
        <v>325</v>
      </c>
    </row>
    <row r="86" spans="1:20" x14ac:dyDescent="0.3">
      <c r="A86" s="3" t="s">
        <v>326</v>
      </c>
      <c r="B86" s="3" t="s">
        <v>143</v>
      </c>
      <c r="C86" s="3" t="s">
        <v>36</v>
      </c>
      <c r="D86" s="3" t="s">
        <v>86</v>
      </c>
      <c r="E86" s="3" t="s">
        <v>37</v>
      </c>
      <c r="F86" s="3" t="s">
        <v>38</v>
      </c>
      <c r="G86" s="3" t="s">
        <v>81</v>
      </c>
      <c r="H86" s="3" t="s">
        <v>97</v>
      </c>
      <c r="I86" s="3" t="s">
        <v>49</v>
      </c>
      <c r="J86" s="3" t="s">
        <v>29</v>
      </c>
      <c r="K86" s="4">
        <v>44548</v>
      </c>
      <c r="L86" s="3">
        <v>14</v>
      </c>
      <c r="M86" s="3">
        <v>56809</v>
      </c>
      <c r="N86" s="3">
        <v>2859</v>
      </c>
      <c r="O86" s="3">
        <v>3.3</v>
      </c>
      <c r="P86" s="3" t="s">
        <v>42</v>
      </c>
      <c r="Q86" s="3" t="s">
        <v>43</v>
      </c>
      <c r="R86" s="3" t="s">
        <v>64</v>
      </c>
      <c r="S86" s="3" t="s">
        <v>327</v>
      </c>
      <c r="T86" s="3" t="s">
        <v>328</v>
      </c>
    </row>
    <row r="87" spans="1:20" x14ac:dyDescent="0.3">
      <c r="A87" s="3" t="s">
        <v>329</v>
      </c>
      <c r="B87" s="3" t="s">
        <v>171</v>
      </c>
      <c r="C87" s="3" t="s">
        <v>102</v>
      </c>
      <c r="D87" s="3" t="s">
        <v>86</v>
      </c>
      <c r="E87" s="3" t="s">
        <v>24</v>
      </c>
      <c r="F87" s="3" t="s">
        <v>25</v>
      </c>
      <c r="G87" s="3" t="s">
        <v>39</v>
      </c>
      <c r="H87" s="3" t="s">
        <v>71</v>
      </c>
      <c r="I87" s="3" t="s">
        <v>38</v>
      </c>
      <c r="J87" s="3" t="s">
        <v>41</v>
      </c>
      <c r="K87" s="4">
        <v>44114</v>
      </c>
      <c r="L87" s="3">
        <v>7</v>
      </c>
      <c r="M87" s="3">
        <v>75929</v>
      </c>
      <c r="N87" s="3">
        <v>2755</v>
      </c>
      <c r="O87" s="3">
        <v>3.2</v>
      </c>
      <c r="P87" s="3" t="s">
        <v>42</v>
      </c>
      <c r="Q87" s="3" t="s">
        <v>31</v>
      </c>
      <c r="R87" s="3" t="s">
        <v>32</v>
      </c>
      <c r="S87" s="3" t="s">
        <v>330</v>
      </c>
      <c r="T87" s="3" t="s">
        <v>331</v>
      </c>
    </row>
    <row r="88" spans="1:20" x14ac:dyDescent="0.3">
      <c r="A88" s="3" t="s">
        <v>332</v>
      </c>
      <c r="B88" s="3" t="s">
        <v>175</v>
      </c>
      <c r="C88" s="3" t="s">
        <v>85</v>
      </c>
      <c r="D88" s="3" t="s">
        <v>23</v>
      </c>
      <c r="E88" s="3" t="s">
        <v>24</v>
      </c>
      <c r="F88" s="3" t="s">
        <v>28</v>
      </c>
      <c r="G88" s="3" t="s">
        <v>81</v>
      </c>
      <c r="H88" s="3" t="s">
        <v>40</v>
      </c>
      <c r="I88" s="3" t="s">
        <v>49</v>
      </c>
      <c r="J88" s="3" t="s">
        <v>29</v>
      </c>
      <c r="K88" s="4">
        <v>44803</v>
      </c>
      <c r="L88" s="3">
        <v>5</v>
      </c>
      <c r="M88" s="3">
        <v>84129</v>
      </c>
      <c r="N88" s="3">
        <v>3136</v>
      </c>
      <c r="O88" s="3">
        <v>4.4000000000000004</v>
      </c>
      <c r="P88" s="3" t="s">
        <v>42</v>
      </c>
      <c r="Q88" s="3" t="s">
        <v>43</v>
      </c>
      <c r="R88" s="3" t="s">
        <v>51</v>
      </c>
      <c r="S88" s="3" t="s">
        <v>333</v>
      </c>
      <c r="T88" s="3" t="s">
        <v>334</v>
      </c>
    </row>
    <row r="89" spans="1:20" x14ac:dyDescent="0.3">
      <c r="A89" s="3" t="s">
        <v>335</v>
      </c>
      <c r="B89" s="3" t="s">
        <v>35</v>
      </c>
      <c r="C89" s="3" t="s">
        <v>22</v>
      </c>
      <c r="D89" s="3" t="s">
        <v>4</v>
      </c>
      <c r="E89" s="3" t="s">
        <v>24</v>
      </c>
      <c r="F89" s="3" t="s">
        <v>28</v>
      </c>
      <c r="G89" s="3" t="s">
        <v>81</v>
      </c>
      <c r="H89" s="3" t="s">
        <v>97</v>
      </c>
      <c r="I89" s="3" t="s">
        <v>28</v>
      </c>
      <c r="J89" s="3" t="s">
        <v>29</v>
      </c>
      <c r="K89" s="4">
        <v>45202</v>
      </c>
      <c r="L89" s="3">
        <v>0</v>
      </c>
      <c r="M89" s="3">
        <v>60111</v>
      </c>
      <c r="N89" s="3">
        <v>6302</v>
      </c>
      <c r="O89" s="3">
        <v>3.3</v>
      </c>
      <c r="P89" s="3" t="s">
        <v>30</v>
      </c>
      <c r="Q89" s="3" t="s">
        <v>43</v>
      </c>
      <c r="R89" s="3" t="s">
        <v>51</v>
      </c>
      <c r="S89" s="3" t="s">
        <v>336</v>
      </c>
      <c r="T89" s="3" t="s">
        <v>337</v>
      </c>
    </row>
    <row r="90" spans="1:20" x14ac:dyDescent="0.3">
      <c r="A90" s="3" t="s">
        <v>338</v>
      </c>
      <c r="B90" s="3" t="s">
        <v>125</v>
      </c>
      <c r="C90" s="3" t="s">
        <v>36</v>
      </c>
      <c r="D90" s="3" t="s">
        <v>23</v>
      </c>
      <c r="E90" s="3" t="s">
        <v>58</v>
      </c>
      <c r="F90" s="3" t="s">
        <v>28</v>
      </c>
      <c r="G90" s="3" t="s">
        <v>26</v>
      </c>
      <c r="H90" s="3" t="s">
        <v>71</v>
      </c>
      <c r="I90" s="3" t="s">
        <v>38</v>
      </c>
      <c r="J90" s="3" t="s">
        <v>29</v>
      </c>
      <c r="K90" s="4">
        <v>43702</v>
      </c>
      <c r="L90" s="3">
        <v>10</v>
      </c>
      <c r="M90" s="3">
        <v>81308</v>
      </c>
      <c r="N90" s="3">
        <v>4257</v>
      </c>
      <c r="O90" s="3">
        <v>3.2</v>
      </c>
      <c r="P90" s="3" t="s">
        <v>30</v>
      </c>
      <c r="Q90" s="3" t="s">
        <v>60</v>
      </c>
      <c r="R90" s="3" t="s">
        <v>64</v>
      </c>
      <c r="S90" s="3" t="s">
        <v>339</v>
      </c>
      <c r="T90" s="3" t="s">
        <v>340</v>
      </c>
    </row>
    <row r="91" spans="1:20" x14ac:dyDescent="0.3">
      <c r="A91" s="3" t="s">
        <v>341</v>
      </c>
      <c r="B91" s="3" t="s">
        <v>79</v>
      </c>
      <c r="C91" s="3" t="s">
        <v>69</v>
      </c>
      <c r="D91" s="3" t="s">
        <v>4</v>
      </c>
      <c r="E91" s="3" t="s">
        <v>48</v>
      </c>
      <c r="F91" s="3" t="s">
        <v>98</v>
      </c>
      <c r="G91" s="3" t="s">
        <v>59</v>
      </c>
      <c r="H91" s="3" t="s">
        <v>27</v>
      </c>
      <c r="I91" s="3" t="s">
        <v>49</v>
      </c>
      <c r="J91" s="3" t="s">
        <v>29</v>
      </c>
      <c r="K91" s="4">
        <v>44250</v>
      </c>
      <c r="L91" s="3">
        <v>9</v>
      </c>
      <c r="M91" s="3">
        <v>50704</v>
      </c>
      <c r="N91" s="3">
        <v>6370</v>
      </c>
      <c r="O91" s="3">
        <v>3.6</v>
      </c>
      <c r="P91" s="3" t="s">
        <v>42</v>
      </c>
      <c r="Q91" s="3" t="s">
        <v>43</v>
      </c>
      <c r="R91" s="3" t="s">
        <v>32</v>
      </c>
      <c r="S91" s="3" t="s">
        <v>342</v>
      </c>
      <c r="T91" s="3" t="s">
        <v>343</v>
      </c>
    </row>
    <row r="92" spans="1:20" x14ac:dyDescent="0.3">
      <c r="A92" s="3" t="s">
        <v>344</v>
      </c>
      <c r="B92" s="3" t="s">
        <v>136</v>
      </c>
      <c r="C92" s="3" t="s">
        <v>85</v>
      </c>
      <c r="D92" s="3" t="s">
        <v>57</v>
      </c>
      <c r="E92" s="3" t="s">
        <v>24</v>
      </c>
      <c r="F92" s="3" t="s">
        <v>49</v>
      </c>
      <c r="G92" s="3" t="s">
        <v>81</v>
      </c>
      <c r="H92" s="3" t="s">
        <v>97</v>
      </c>
      <c r="I92" s="3" t="s">
        <v>98</v>
      </c>
      <c r="J92" s="3" t="s">
        <v>29</v>
      </c>
      <c r="K92" s="4">
        <v>43239</v>
      </c>
      <c r="L92" s="3">
        <v>12</v>
      </c>
      <c r="M92" s="3">
        <v>88785</v>
      </c>
      <c r="N92" s="3">
        <v>7409</v>
      </c>
      <c r="O92" s="3">
        <v>4.7</v>
      </c>
      <c r="P92" s="3" t="s">
        <v>30</v>
      </c>
      <c r="Q92" s="3" t="s">
        <v>43</v>
      </c>
      <c r="R92" s="3" t="s">
        <v>64</v>
      </c>
      <c r="S92" s="3" t="s">
        <v>345</v>
      </c>
      <c r="T92" s="3" t="s">
        <v>346</v>
      </c>
    </row>
    <row r="93" spans="1:20" x14ac:dyDescent="0.3">
      <c r="A93" s="3" t="s">
        <v>347</v>
      </c>
      <c r="B93" s="3" t="s">
        <v>143</v>
      </c>
      <c r="C93" s="3" t="s">
        <v>36</v>
      </c>
      <c r="D93" s="3" t="s">
        <v>23</v>
      </c>
      <c r="E93" s="3" t="s">
        <v>48</v>
      </c>
      <c r="F93" s="3" t="s">
        <v>38</v>
      </c>
      <c r="G93" s="3" t="s">
        <v>81</v>
      </c>
      <c r="H93" s="3" t="s">
        <v>97</v>
      </c>
      <c r="I93" s="3" t="s">
        <v>38</v>
      </c>
      <c r="J93" s="3" t="s">
        <v>29</v>
      </c>
      <c r="K93" s="4">
        <v>45413</v>
      </c>
      <c r="L93" s="3">
        <v>10</v>
      </c>
      <c r="M93" s="3">
        <v>43190</v>
      </c>
      <c r="N93" s="3">
        <v>8496</v>
      </c>
      <c r="O93" s="3">
        <v>4.7</v>
      </c>
      <c r="P93" s="3" t="s">
        <v>42</v>
      </c>
      <c r="Q93" s="3" t="s">
        <v>43</v>
      </c>
      <c r="R93" s="3" t="s">
        <v>32</v>
      </c>
      <c r="S93" s="3" t="s">
        <v>348</v>
      </c>
      <c r="T93" s="3" t="s">
        <v>349</v>
      </c>
    </row>
    <row r="94" spans="1:20" x14ac:dyDescent="0.3">
      <c r="A94" s="3" t="s">
        <v>350</v>
      </c>
      <c r="B94" s="3" t="s">
        <v>109</v>
      </c>
      <c r="C94" s="3" t="s">
        <v>102</v>
      </c>
      <c r="D94" s="3" t="s">
        <v>86</v>
      </c>
      <c r="E94" s="3" t="s">
        <v>37</v>
      </c>
      <c r="F94" s="3" t="s">
        <v>98</v>
      </c>
      <c r="G94" s="3" t="s">
        <v>26</v>
      </c>
      <c r="H94" s="3" t="s">
        <v>40</v>
      </c>
      <c r="I94" s="3" t="s">
        <v>98</v>
      </c>
      <c r="J94" s="3" t="s">
        <v>29</v>
      </c>
      <c r="K94" s="4">
        <v>43986</v>
      </c>
      <c r="L94" s="3">
        <v>1</v>
      </c>
      <c r="M94" s="3">
        <v>41428</v>
      </c>
      <c r="N94" s="3">
        <v>14146</v>
      </c>
      <c r="O94" s="3">
        <v>4.8</v>
      </c>
      <c r="P94" s="3" t="s">
        <v>42</v>
      </c>
      <c r="Q94" s="3" t="s">
        <v>60</v>
      </c>
      <c r="R94" s="3" t="s">
        <v>64</v>
      </c>
      <c r="S94" s="3" t="s">
        <v>351</v>
      </c>
      <c r="T94" s="3" t="s">
        <v>352</v>
      </c>
    </row>
    <row r="95" spans="1:20" x14ac:dyDescent="0.3">
      <c r="A95" s="3" t="s">
        <v>353</v>
      </c>
      <c r="B95" s="3" t="s">
        <v>79</v>
      </c>
      <c r="C95" s="3" t="s">
        <v>102</v>
      </c>
      <c r="D95" s="3" t="s">
        <v>57</v>
      </c>
      <c r="E95" s="3" t="s">
        <v>80</v>
      </c>
      <c r="F95" s="3" t="s">
        <v>25</v>
      </c>
      <c r="G95" s="3" t="s">
        <v>26</v>
      </c>
      <c r="H95" s="3" t="s">
        <v>27</v>
      </c>
      <c r="I95" s="3" t="s">
        <v>49</v>
      </c>
      <c r="J95" s="3" t="s">
        <v>29</v>
      </c>
      <c r="K95" s="4">
        <v>43849</v>
      </c>
      <c r="L95" s="3">
        <v>1</v>
      </c>
      <c r="M95" s="3">
        <v>75602</v>
      </c>
      <c r="N95" s="3">
        <v>3655</v>
      </c>
      <c r="O95" s="3">
        <v>3.5</v>
      </c>
      <c r="P95" s="3" t="s">
        <v>42</v>
      </c>
      <c r="Q95" s="3" t="s">
        <v>31</v>
      </c>
      <c r="R95" s="3" t="s">
        <v>64</v>
      </c>
      <c r="S95" s="3" t="s">
        <v>354</v>
      </c>
      <c r="T95" s="3" t="s">
        <v>355</v>
      </c>
    </row>
    <row r="96" spans="1:20" x14ac:dyDescent="0.3">
      <c r="A96" s="3" t="s">
        <v>356</v>
      </c>
      <c r="B96" s="3" t="s">
        <v>55</v>
      </c>
      <c r="C96" s="3" t="s">
        <v>102</v>
      </c>
      <c r="D96" s="3" t="s">
        <v>23</v>
      </c>
      <c r="E96" s="3" t="s">
        <v>37</v>
      </c>
      <c r="F96" s="3" t="s">
        <v>28</v>
      </c>
      <c r="G96" s="3" t="s">
        <v>26</v>
      </c>
      <c r="H96" s="3" t="s">
        <v>40</v>
      </c>
      <c r="I96" s="3" t="s">
        <v>98</v>
      </c>
      <c r="J96" s="3" t="s">
        <v>41</v>
      </c>
      <c r="K96" s="4">
        <v>43251</v>
      </c>
      <c r="L96" s="3">
        <v>8</v>
      </c>
      <c r="M96" s="3">
        <v>40444</v>
      </c>
      <c r="N96" s="3">
        <v>3904</v>
      </c>
      <c r="O96" s="3">
        <v>4.7</v>
      </c>
      <c r="P96" s="3" t="s">
        <v>42</v>
      </c>
      <c r="Q96" s="3" t="s">
        <v>43</v>
      </c>
      <c r="R96" s="3" t="s">
        <v>51</v>
      </c>
      <c r="S96" s="3" t="s">
        <v>357</v>
      </c>
      <c r="T96" s="3" t="s">
        <v>358</v>
      </c>
    </row>
    <row r="97" spans="1:20" x14ac:dyDescent="0.3">
      <c r="A97" s="3" t="s">
        <v>359</v>
      </c>
      <c r="B97" s="3" t="s">
        <v>68</v>
      </c>
      <c r="C97" s="3" t="s">
        <v>69</v>
      </c>
      <c r="D97" s="3" t="s">
        <v>4</v>
      </c>
      <c r="E97" s="3" t="s">
        <v>58</v>
      </c>
      <c r="F97" s="3" t="s">
        <v>25</v>
      </c>
      <c r="G97" s="3" t="s">
        <v>39</v>
      </c>
      <c r="H97" s="3" t="s">
        <v>40</v>
      </c>
      <c r="I97" s="3" t="s">
        <v>25</v>
      </c>
      <c r="J97" s="3" t="s">
        <v>41</v>
      </c>
      <c r="K97" s="4">
        <v>43392</v>
      </c>
      <c r="L97" s="3">
        <v>11</v>
      </c>
      <c r="M97" s="3">
        <v>77062</v>
      </c>
      <c r="N97" s="3">
        <v>7678</v>
      </c>
      <c r="O97" s="3">
        <v>3.4</v>
      </c>
      <c r="P97" s="3" t="s">
        <v>30</v>
      </c>
      <c r="Q97" s="3" t="s">
        <v>31</v>
      </c>
      <c r="R97" s="3" t="s">
        <v>51</v>
      </c>
      <c r="S97" s="3" t="s">
        <v>360</v>
      </c>
      <c r="T97" s="3" t="s">
        <v>361</v>
      </c>
    </row>
    <row r="98" spans="1:20" x14ac:dyDescent="0.3">
      <c r="A98" s="3" t="s">
        <v>362</v>
      </c>
      <c r="B98" s="3" t="s">
        <v>143</v>
      </c>
      <c r="C98" s="3" t="s">
        <v>36</v>
      </c>
      <c r="D98" s="3" t="s">
        <v>70</v>
      </c>
      <c r="E98" s="3" t="s">
        <v>48</v>
      </c>
      <c r="F98" s="3" t="s">
        <v>38</v>
      </c>
      <c r="G98" s="3" t="s">
        <v>59</v>
      </c>
      <c r="H98" s="3" t="s">
        <v>71</v>
      </c>
      <c r="I98" s="3" t="s">
        <v>38</v>
      </c>
      <c r="J98" s="3" t="s">
        <v>29</v>
      </c>
      <c r="K98" s="4">
        <v>44501</v>
      </c>
      <c r="L98" s="3">
        <v>7</v>
      </c>
      <c r="M98" s="3">
        <v>48181</v>
      </c>
      <c r="N98" s="3">
        <v>13846</v>
      </c>
      <c r="O98" s="3">
        <v>3.1</v>
      </c>
      <c r="P98" s="3" t="s">
        <v>30</v>
      </c>
      <c r="Q98" s="3" t="s">
        <v>43</v>
      </c>
      <c r="R98" s="3" t="s">
        <v>51</v>
      </c>
      <c r="S98" s="3" t="s">
        <v>363</v>
      </c>
      <c r="T98" s="3" t="s">
        <v>364</v>
      </c>
    </row>
    <row r="99" spans="1:20" x14ac:dyDescent="0.3">
      <c r="A99" s="3" t="s">
        <v>365</v>
      </c>
      <c r="B99" s="3" t="s">
        <v>125</v>
      </c>
      <c r="C99" s="3" t="s">
        <v>102</v>
      </c>
      <c r="D99" s="3" t="s">
        <v>70</v>
      </c>
      <c r="E99" s="3" t="s">
        <v>48</v>
      </c>
      <c r="F99" s="3" t="s">
        <v>25</v>
      </c>
      <c r="G99" s="3" t="s">
        <v>81</v>
      </c>
      <c r="H99" s="3" t="s">
        <v>27</v>
      </c>
      <c r="I99" s="3" t="s">
        <v>28</v>
      </c>
      <c r="J99" s="3" t="s">
        <v>41</v>
      </c>
      <c r="K99" s="4">
        <v>45167</v>
      </c>
      <c r="L99" s="3">
        <v>4</v>
      </c>
      <c r="M99" s="3">
        <v>63858</v>
      </c>
      <c r="N99" s="3">
        <v>9106</v>
      </c>
      <c r="O99" s="3">
        <v>3.6</v>
      </c>
      <c r="P99" s="3" t="s">
        <v>42</v>
      </c>
      <c r="Q99" s="3" t="s">
        <v>43</v>
      </c>
      <c r="R99" s="3" t="s">
        <v>32</v>
      </c>
      <c r="S99" s="3" t="s">
        <v>366</v>
      </c>
      <c r="T99" s="3" t="s">
        <v>367</v>
      </c>
    </row>
    <row r="100" spans="1:20" x14ac:dyDescent="0.3">
      <c r="A100" s="3" t="s">
        <v>368</v>
      </c>
      <c r="B100" s="3" t="s">
        <v>68</v>
      </c>
      <c r="C100" s="3" t="s">
        <v>56</v>
      </c>
      <c r="D100" s="3" t="s">
        <v>86</v>
      </c>
      <c r="E100" s="3" t="s">
        <v>37</v>
      </c>
      <c r="F100" s="3" t="s">
        <v>28</v>
      </c>
      <c r="G100" s="3" t="s">
        <v>39</v>
      </c>
      <c r="H100" s="3" t="s">
        <v>40</v>
      </c>
      <c r="I100" s="3" t="s">
        <v>98</v>
      </c>
      <c r="J100" s="3" t="s">
        <v>29</v>
      </c>
      <c r="K100" s="4">
        <v>43545</v>
      </c>
      <c r="L100" s="3">
        <v>4</v>
      </c>
      <c r="M100" s="3">
        <v>73286</v>
      </c>
      <c r="N100" s="3">
        <v>3134</v>
      </c>
      <c r="O100" s="3">
        <v>3.1</v>
      </c>
      <c r="P100" s="3" t="s">
        <v>42</v>
      </c>
      <c r="Q100" s="3" t="s">
        <v>31</v>
      </c>
      <c r="R100" s="3" t="s">
        <v>32</v>
      </c>
      <c r="S100" s="3" t="s">
        <v>369</v>
      </c>
      <c r="T100" s="3" t="s">
        <v>370</v>
      </c>
    </row>
    <row r="101" spans="1:20" x14ac:dyDescent="0.3">
      <c r="A101" s="3" t="s">
        <v>371</v>
      </c>
      <c r="B101" s="3" t="s">
        <v>75</v>
      </c>
      <c r="C101" s="3" t="s">
        <v>102</v>
      </c>
      <c r="D101" s="3" t="s">
        <v>70</v>
      </c>
      <c r="E101" s="3" t="s">
        <v>80</v>
      </c>
      <c r="F101" s="3" t="s">
        <v>27</v>
      </c>
      <c r="G101" s="3" t="s">
        <v>81</v>
      </c>
      <c r="H101" s="3" t="s">
        <v>27</v>
      </c>
      <c r="I101" s="3" t="s">
        <v>28</v>
      </c>
      <c r="J101" s="3" t="s">
        <v>41</v>
      </c>
      <c r="K101" s="4">
        <v>44480</v>
      </c>
      <c r="L101" s="3">
        <v>4</v>
      </c>
      <c r="M101" s="3">
        <v>37439</v>
      </c>
      <c r="N101" s="3">
        <v>13808</v>
      </c>
      <c r="O101" s="3">
        <v>3.5</v>
      </c>
      <c r="P101" s="3" t="s">
        <v>42</v>
      </c>
      <c r="Q101" s="3" t="s">
        <v>43</v>
      </c>
      <c r="R101" s="3" t="s">
        <v>64</v>
      </c>
      <c r="S101" s="3" t="s">
        <v>372</v>
      </c>
      <c r="T101" s="3" t="s">
        <v>373</v>
      </c>
    </row>
    <row r="102" spans="1:20" x14ac:dyDescent="0.3">
      <c r="A102" s="3" t="s">
        <v>374</v>
      </c>
      <c r="B102" s="3" t="s">
        <v>109</v>
      </c>
      <c r="C102" s="3" t="s">
        <v>69</v>
      </c>
      <c r="D102" s="3" t="s">
        <v>57</v>
      </c>
      <c r="E102" s="3" t="s">
        <v>80</v>
      </c>
      <c r="F102" s="3" t="s">
        <v>49</v>
      </c>
      <c r="G102" s="3" t="s">
        <v>39</v>
      </c>
      <c r="H102" s="3" t="s">
        <v>40</v>
      </c>
      <c r="I102" s="3" t="s">
        <v>38</v>
      </c>
      <c r="J102" s="3" t="s">
        <v>41</v>
      </c>
      <c r="K102" s="4">
        <v>44611</v>
      </c>
      <c r="L102" s="3">
        <v>6</v>
      </c>
      <c r="M102" s="3">
        <v>63590</v>
      </c>
      <c r="N102" s="3">
        <v>6384</v>
      </c>
      <c r="O102" s="3">
        <v>4.3</v>
      </c>
      <c r="P102" s="3" t="s">
        <v>42</v>
      </c>
      <c r="Q102" s="3" t="s">
        <v>60</v>
      </c>
      <c r="R102" s="3" t="s">
        <v>51</v>
      </c>
      <c r="S102" s="3" t="s">
        <v>375</v>
      </c>
      <c r="T102" s="3" t="s">
        <v>376</v>
      </c>
    </row>
    <row r="103" spans="1:20" x14ac:dyDescent="0.3">
      <c r="A103" s="3" t="s">
        <v>377</v>
      </c>
      <c r="B103" s="3" t="s">
        <v>136</v>
      </c>
      <c r="C103" s="3" t="s">
        <v>56</v>
      </c>
      <c r="D103" s="3" t="s">
        <v>86</v>
      </c>
      <c r="E103" s="3" t="s">
        <v>48</v>
      </c>
      <c r="F103" s="3" t="s">
        <v>28</v>
      </c>
      <c r="G103" s="3" t="s">
        <v>39</v>
      </c>
      <c r="H103" s="3" t="s">
        <v>97</v>
      </c>
      <c r="I103" s="3" t="s">
        <v>38</v>
      </c>
      <c r="J103" s="3" t="s">
        <v>41</v>
      </c>
      <c r="K103" s="4">
        <v>44906</v>
      </c>
      <c r="L103" s="3">
        <v>1</v>
      </c>
      <c r="M103" s="3">
        <v>61793</v>
      </c>
      <c r="N103" s="3">
        <v>6979</v>
      </c>
      <c r="O103" s="3">
        <v>4.3</v>
      </c>
      <c r="P103" s="3" t="s">
        <v>30</v>
      </c>
      <c r="Q103" s="3" t="s">
        <v>43</v>
      </c>
      <c r="R103" s="3" t="s">
        <v>64</v>
      </c>
      <c r="S103" s="3" t="s">
        <v>378</v>
      </c>
      <c r="T103" s="3" t="s">
        <v>379</v>
      </c>
    </row>
    <row r="104" spans="1:20" x14ac:dyDescent="0.3">
      <c r="A104" s="3" t="s">
        <v>380</v>
      </c>
      <c r="B104" s="3" t="s">
        <v>90</v>
      </c>
      <c r="C104" s="3" t="s">
        <v>102</v>
      </c>
      <c r="D104" s="3" t="s">
        <v>57</v>
      </c>
      <c r="E104" s="3" t="s">
        <v>48</v>
      </c>
      <c r="F104" s="3" t="s">
        <v>27</v>
      </c>
      <c r="G104" s="3" t="s">
        <v>59</v>
      </c>
      <c r="H104" s="3" t="s">
        <v>71</v>
      </c>
      <c r="I104" s="3" t="s">
        <v>49</v>
      </c>
      <c r="J104" s="3" t="s">
        <v>41</v>
      </c>
      <c r="K104" s="4">
        <v>43132</v>
      </c>
      <c r="L104" s="3">
        <v>7</v>
      </c>
      <c r="M104" s="3">
        <v>34480</v>
      </c>
      <c r="N104" s="3">
        <v>13335</v>
      </c>
      <c r="O104" s="3">
        <v>3.9</v>
      </c>
      <c r="P104" s="3" t="s">
        <v>42</v>
      </c>
      <c r="Q104" s="3" t="s">
        <v>31</v>
      </c>
      <c r="R104" s="3" t="s">
        <v>64</v>
      </c>
      <c r="S104" s="3" t="s">
        <v>381</v>
      </c>
      <c r="T104" s="3" t="s">
        <v>382</v>
      </c>
    </row>
    <row r="105" spans="1:20" x14ac:dyDescent="0.3">
      <c r="A105" s="3" t="s">
        <v>383</v>
      </c>
      <c r="B105" s="3" t="s">
        <v>68</v>
      </c>
      <c r="C105" s="3" t="s">
        <v>69</v>
      </c>
      <c r="D105" s="3" t="s">
        <v>4</v>
      </c>
      <c r="E105" s="3" t="s">
        <v>58</v>
      </c>
      <c r="F105" s="3" t="s">
        <v>27</v>
      </c>
      <c r="G105" s="3" t="s">
        <v>39</v>
      </c>
      <c r="H105" s="3" t="s">
        <v>27</v>
      </c>
      <c r="I105" s="3" t="s">
        <v>28</v>
      </c>
      <c r="J105" s="3" t="s">
        <v>29</v>
      </c>
      <c r="K105" s="4">
        <v>45406</v>
      </c>
      <c r="L105" s="3">
        <v>5</v>
      </c>
      <c r="M105" s="3">
        <v>68331</v>
      </c>
      <c r="N105" s="3">
        <v>13762</v>
      </c>
      <c r="O105" s="3">
        <v>5</v>
      </c>
      <c r="P105" s="3" t="s">
        <v>42</v>
      </c>
      <c r="Q105" s="3" t="s">
        <v>60</v>
      </c>
      <c r="R105" s="3" t="s">
        <v>51</v>
      </c>
      <c r="S105" s="3" t="s">
        <v>384</v>
      </c>
      <c r="T105" s="3" t="s">
        <v>385</v>
      </c>
    </row>
    <row r="106" spans="1:20" x14ac:dyDescent="0.3">
      <c r="A106" s="3" t="s">
        <v>386</v>
      </c>
      <c r="B106" s="3" t="s">
        <v>171</v>
      </c>
      <c r="C106" s="3" t="s">
        <v>85</v>
      </c>
      <c r="D106" s="3" t="s">
        <v>23</v>
      </c>
      <c r="E106" s="3" t="s">
        <v>24</v>
      </c>
      <c r="F106" s="3" t="s">
        <v>98</v>
      </c>
      <c r="G106" s="3" t="s">
        <v>81</v>
      </c>
      <c r="H106" s="3" t="s">
        <v>40</v>
      </c>
      <c r="I106" s="3" t="s">
        <v>25</v>
      </c>
      <c r="J106" s="3" t="s">
        <v>29</v>
      </c>
      <c r="K106" s="4">
        <v>45409</v>
      </c>
      <c r="L106" s="3">
        <v>4</v>
      </c>
      <c r="M106" s="3">
        <v>58458</v>
      </c>
      <c r="N106" s="3">
        <v>9485</v>
      </c>
      <c r="O106" s="3">
        <v>4.9000000000000004</v>
      </c>
      <c r="P106" s="3" t="s">
        <v>42</v>
      </c>
      <c r="Q106" s="3" t="s">
        <v>60</v>
      </c>
      <c r="R106" s="3" t="s">
        <v>51</v>
      </c>
      <c r="S106" s="3" t="s">
        <v>387</v>
      </c>
      <c r="T106" s="3" t="s">
        <v>388</v>
      </c>
    </row>
    <row r="107" spans="1:20" x14ac:dyDescent="0.3">
      <c r="A107" s="3" t="s">
        <v>389</v>
      </c>
      <c r="B107" s="3" t="s">
        <v>171</v>
      </c>
      <c r="C107" s="3" t="s">
        <v>36</v>
      </c>
      <c r="D107" s="3" t="s">
        <v>86</v>
      </c>
      <c r="E107" s="3" t="s">
        <v>58</v>
      </c>
      <c r="F107" s="3" t="s">
        <v>49</v>
      </c>
      <c r="G107" s="3" t="s">
        <v>59</v>
      </c>
      <c r="H107" s="3" t="s">
        <v>27</v>
      </c>
      <c r="I107" s="3" t="s">
        <v>38</v>
      </c>
      <c r="J107" s="3" t="s">
        <v>41</v>
      </c>
      <c r="K107" s="4">
        <v>44088</v>
      </c>
      <c r="L107" s="3">
        <v>10</v>
      </c>
      <c r="M107" s="3">
        <v>71403</v>
      </c>
      <c r="N107" s="3">
        <v>11693</v>
      </c>
      <c r="O107" s="3">
        <v>3.2</v>
      </c>
      <c r="P107" s="3" t="s">
        <v>30</v>
      </c>
      <c r="Q107" s="3" t="s">
        <v>31</v>
      </c>
      <c r="R107" s="3" t="s">
        <v>64</v>
      </c>
      <c r="S107" s="3" t="s">
        <v>390</v>
      </c>
      <c r="T107" s="3" t="s">
        <v>391</v>
      </c>
    </row>
    <row r="108" spans="1:20" x14ac:dyDescent="0.3">
      <c r="A108" s="3" t="s">
        <v>392</v>
      </c>
      <c r="B108" s="3" t="s">
        <v>21</v>
      </c>
      <c r="C108" s="3" t="s">
        <v>102</v>
      </c>
      <c r="D108" s="3" t="s">
        <v>86</v>
      </c>
      <c r="E108" s="3" t="s">
        <v>58</v>
      </c>
      <c r="F108" s="3" t="s">
        <v>28</v>
      </c>
      <c r="G108" s="3" t="s">
        <v>26</v>
      </c>
      <c r="H108" s="3" t="s">
        <v>40</v>
      </c>
      <c r="I108" s="3" t="s">
        <v>27</v>
      </c>
      <c r="J108" s="3" t="s">
        <v>29</v>
      </c>
      <c r="K108" s="4">
        <v>45443</v>
      </c>
      <c r="L108" s="3">
        <v>10</v>
      </c>
      <c r="M108" s="3">
        <v>49520</v>
      </c>
      <c r="N108" s="3">
        <v>3820</v>
      </c>
      <c r="O108" s="3">
        <v>4.7</v>
      </c>
      <c r="P108" s="3" t="s">
        <v>42</v>
      </c>
      <c r="Q108" s="3" t="s">
        <v>60</v>
      </c>
      <c r="R108" s="3" t="s">
        <v>64</v>
      </c>
      <c r="S108" s="3" t="s">
        <v>393</v>
      </c>
      <c r="T108" s="3" t="s">
        <v>394</v>
      </c>
    </row>
    <row r="109" spans="1:20" x14ac:dyDescent="0.3">
      <c r="A109" s="3" t="s">
        <v>395</v>
      </c>
      <c r="B109" s="3" t="s">
        <v>35</v>
      </c>
      <c r="C109" s="3" t="s">
        <v>102</v>
      </c>
      <c r="D109" s="3" t="s">
        <v>86</v>
      </c>
      <c r="E109" s="3" t="s">
        <v>58</v>
      </c>
      <c r="F109" s="3" t="s">
        <v>25</v>
      </c>
      <c r="G109" s="3" t="s">
        <v>59</v>
      </c>
      <c r="H109" s="3" t="s">
        <v>40</v>
      </c>
      <c r="I109" s="3" t="s">
        <v>38</v>
      </c>
      <c r="J109" s="3" t="s">
        <v>41</v>
      </c>
      <c r="K109" s="4">
        <v>43385</v>
      </c>
      <c r="L109" s="3">
        <v>7</v>
      </c>
      <c r="M109" s="3">
        <v>91140</v>
      </c>
      <c r="N109" s="3">
        <v>13643</v>
      </c>
      <c r="O109" s="3">
        <v>3</v>
      </c>
      <c r="P109" s="3" t="s">
        <v>42</v>
      </c>
      <c r="Q109" s="3" t="s">
        <v>60</v>
      </c>
      <c r="R109" s="3" t="s">
        <v>51</v>
      </c>
      <c r="S109" s="3" t="s">
        <v>396</v>
      </c>
      <c r="T109" s="3" t="s">
        <v>397</v>
      </c>
    </row>
    <row r="110" spans="1:20" x14ac:dyDescent="0.3">
      <c r="A110" s="3" t="s">
        <v>398</v>
      </c>
      <c r="B110" s="3" t="s">
        <v>21</v>
      </c>
      <c r="C110" s="3" t="s">
        <v>102</v>
      </c>
      <c r="D110" s="3" t="s">
        <v>23</v>
      </c>
      <c r="E110" s="3" t="s">
        <v>58</v>
      </c>
      <c r="F110" s="3" t="s">
        <v>25</v>
      </c>
      <c r="G110" s="3" t="s">
        <v>39</v>
      </c>
      <c r="H110" s="3" t="s">
        <v>27</v>
      </c>
      <c r="I110" s="3" t="s">
        <v>98</v>
      </c>
      <c r="J110" s="3" t="s">
        <v>29</v>
      </c>
      <c r="K110" s="4">
        <v>43992</v>
      </c>
      <c r="L110" s="3">
        <v>7</v>
      </c>
      <c r="M110" s="3">
        <v>76299</v>
      </c>
      <c r="N110" s="3">
        <v>12425</v>
      </c>
      <c r="O110" s="3">
        <v>3.7</v>
      </c>
      <c r="P110" s="3" t="s">
        <v>42</v>
      </c>
      <c r="Q110" s="3" t="s">
        <v>60</v>
      </c>
      <c r="R110" s="3" t="s">
        <v>32</v>
      </c>
      <c r="S110" s="3" t="s">
        <v>399</v>
      </c>
      <c r="T110" s="3" t="s">
        <v>400</v>
      </c>
    </row>
    <row r="111" spans="1:20" x14ac:dyDescent="0.3">
      <c r="A111" s="3" t="s">
        <v>401</v>
      </c>
      <c r="B111" s="3" t="s">
        <v>35</v>
      </c>
      <c r="C111" s="3" t="s">
        <v>22</v>
      </c>
      <c r="D111" s="3" t="s">
        <v>57</v>
      </c>
      <c r="E111" s="3" t="s">
        <v>48</v>
      </c>
      <c r="F111" s="3" t="s">
        <v>38</v>
      </c>
      <c r="G111" s="3" t="s">
        <v>59</v>
      </c>
      <c r="H111" s="3" t="s">
        <v>97</v>
      </c>
      <c r="I111" s="3" t="s">
        <v>27</v>
      </c>
      <c r="J111" s="3" t="s">
        <v>29</v>
      </c>
      <c r="K111" s="4">
        <v>45052</v>
      </c>
      <c r="L111" s="3">
        <v>15</v>
      </c>
      <c r="M111" s="3">
        <v>71946</v>
      </c>
      <c r="N111" s="3">
        <v>14917</v>
      </c>
      <c r="O111" s="3">
        <v>5</v>
      </c>
      <c r="P111" s="3" t="s">
        <v>42</v>
      </c>
      <c r="Q111" s="3" t="s">
        <v>43</v>
      </c>
      <c r="R111" s="3" t="s">
        <v>64</v>
      </c>
      <c r="S111" s="3" t="s">
        <v>402</v>
      </c>
      <c r="T111" s="3" t="s">
        <v>403</v>
      </c>
    </row>
    <row r="112" spans="1:20" x14ac:dyDescent="0.3">
      <c r="A112" s="3" t="s">
        <v>404</v>
      </c>
      <c r="B112" s="3" t="s">
        <v>109</v>
      </c>
      <c r="C112" s="3" t="s">
        <v>56</v>
      </c>
      <c r="D112" s="3" t="s">
        <v>70</v>
      </c>
      <c r="E112" s="3" t="s">
        <v>48</v>
      </c>
      <c r="F112" s="3" t="s">
        <v>27</v>
      </c>
      <c r="G112" s="3" t="s">
        <v>59</v>
      </c>
      <c r="H112" s="3" t="s">
        <v>50</v>
      </c>
      <c r="I112" s="3" t="s">
        <v>38</v>
      </c>
      <c r="J112" s="3" t="s">
        <v>29</v>
      </c>
      <c r="K112" s="4">
        <v>43753</v>
      </c>
      <c r="L112" s="3">
        <v>8</v>
      </c>
      <c r="M112" s="3">
        <v>85901</v>
      </c>
      <c r="N112" s="3">
        <v>2979</v>
      </c>
      <c r="O112" s="3">
        <v>3.1</v>
      </c>
      <c r="P112" s="3" t="s">
        <v>30</v>
      </c>
      <c r="Q112" s="3" t="s">
        <v>60</v>
      </c>
      <c r="R112" s="3" t="s">
        <v>64</v>
      </c>
      <c r="S112" s="3" t="s">
        <v>405</v>
      </c>
      <c r="T112" s="3" t="s">
        <v>406</v>
      </c>
    </row>
    <row r="113" spans="1:20" x14ac:dyDescent="0.3">
      <c r="A113" s="3" t="s">
        <v>407</v>
      </c>
      <c r="B113" s="3" t="s">
        <v>203</v>
      </c>
      <c r="C113" s="3" t="s">
        <v>85</v>
      </c>
      <c r="D113" s="3" t="s">
        <v>57</v>
      </c>
      <c r="E113" s="3" t="s">
        <v>24</v>
      </c>
      <c r="F113" s="3" t="s">
        <v>49</v>
      </c>
      <c r="G113" s="3" t="s">
        <v>39</v>
      </c>
      <c r="H113" s="3" t="s">
        <v>40</v>
      </c>
      <c r="I113" s="3" t="s">
        <v>49</v>
      </c>
      <c r="J113" s="3" t="s">
        <v>41</v>
      </c>
      <c r="K113" s="4">
        <v>44450</v>
      </c>
      <c r="L113" s="3">
        <v>0</v>
      </c>
      <c r="M113" s="3">
        <v>47306</v>
      </c>
      <c r="N113" s="3">
        <v>11772</v>
      </c>
      <c r="O113" s="3">
        <v>3.6</v>
      </c>
      <c r="P113" s="3" t="s">
        <v>30</v>
      </c>
      <c r="Q113" s="3" t="s">
        <v>43</v>
      </c>
      <c r="R113" s="3" t="s">
        <v>32</v>
      </c>
      <c r="S113" s="3" t="s">
        <v>408</v>
      </c>
      <c r="T113" s="3" t="s">
        <v>409</v>
      </c>
    </row>
    <row r="114" spans="1:20" x14ac:dyDescent="0.3">
      <c r="A114" s="3" t="s">
        <v>410</v>
      </c>
      <c r="B114" s="3" t="s">
        <v>136</v>
      </c>
      <c r="C114" s="3" t="s">
        <v>22</v>
      </c>
      <c r="D114" s="3" t="s">
        <v>57</v>
      </c>
      <c r="E114" s="3" t="s">
        <v>80</v>
      </c>
      <c r="F114" s="3" t="s">
        <v>98</v>
      </c>
      <c r="G114" s="3" t="s">
        <v>59</v>
      </c>
      <c r="H114" s="3" t="s">
        <v>97</v>
      </c>
      <c r="I114" s="3" t="s">
        <v>28</v>
      </c>
      <c r="J114" s="3" t="s">
        <v>29</v>
      </c>
      <c r="K114" s="4">
        <v>44331</v>
      </c>
      <c r="L114" s="3">
        <v>12</v>
      </c>
      <c r="M114" s="3">
        <v>69472</v>
      </c>
      <c r="N114" s="3">
        <v>13233</v>
      </c>
      <c r="O114" s="3">
        <v>4.4000000000000004</v>
      </c>
      <c r="P114" s="3" t="s">
        <v>30</v>
      </c>
      <c r="Q114" s="3" t="s">
        <v>43</v>
      </c>
      <c r="R114" s="3" t="s">
        <v>51</v>
      </c>
      <c r="S114" s="3" t="s">
        <v>411</v>
      </c>
      <c r="T114" s="3" t="s">
        <v>412</v>
      </c>
    </row>
    <row r="115" spans="1:20" x14ac:dyDescent="0.3">
      <c r="A115" s="3" t="s">
        <v>413</v>
      </c>
      <c r="B115" s="3" t="s">
        <v>75</v>
      </c>
      <c r="C115" s="3" t="s">
        <v>36</v>
      </c>
      <c r="D115" s="3" t="s">
        <v>4</v>
      </c>
      <c r="E115" s="3" t="s">
        <v>58</v>
      </c>
      <c r="F115" s="3" t="s">
        <v>49</v>
      </c>
      <c r="G115" s="3" t="s">
        <v>26</v>
      </c>
      <c r="H115" s="3" t="s">
        <v>40</v>
      </c>
      <c r="I115" s="3" t="s">
        <v>28</v>
      </c>
      <c r="J115" s="3" t="s">
        <v>29</v>
      </c>
      <c r="K115" s="4">
        <v>43113</v>
      </c>
      <c r="L115" s="3">
        <v>2</v>
      </c>
      <c r="M115" s="3">
        <v>42534</v>
      </c>
      <c r="N115" s="3">
        <v>13780</v>
      </c>
      <c r="O115" s="3">
        <v>4.0999999999999996</v>
      </c>
      <c r="P115" s="3" t="s">
        <v>42</v>
      </c>
      <c r="Q115" s="3" t="s">
        <v>60</v>
      </c>
      <c r="R115" s="3" t="s">
        <v>64</v>
      </c>
      <c r="S115" s="3" t="s">
        <v>414</v>
      </c>
      <c r="T115" s="3" t="s">
        <v>415</v>
      </c>
    </row>
    <row r="116" spans="1:20" x14ac:dyDescent="0.3">
      <c r="A116" s="3" t="s">
        <v>416</v>
      </c>
      <c r="B116" s="3" t="s">
        <v>109</v>
      </c>
      <c r="C116" s="3" t="s">
        <v>22</v>
      </c>
      <c r="D116" s="3" t="s">
        <v>4</v>
      </c>
      <c r="E116" s="3" t="s">
        <v>24</v>
      </c>
      <c r="F116" s="3" t="s">
        <v>49</v>
      </c>
      <c r="G116" s="3" t="s">
        <v>39</v>
      </c>
      <c r="H116" s="3" t="s">
        <v>40</v>
      </c>
      <c r="I116" s="3" t="s">
        <v>98</v>
      </c>
      <c r="J116" s="3" t="s">
        <v>29</v>
      </c>
      <c r="K116" s="4">
        <v>44501</v>
      </c>
      <c r="L116" s="3">
        <v>7</v>
      </c>
      <c r="M116" s="3">
        <v>75602</v>
      </c>
      <c r="N116" s="3">
        <v>11556</v>
      </c>
      <c r="O116" s="3">
        <v>3.6</v>
      </c>
      <c r="P116" s="3" t="s">
        <v>42</v>
      </c>
      <c r="Q116" s="3" t="s">
        <v>43</v>
      </c>
      <c r="R116" s="3" t="s">
        <v>51</v>
      </c>
      <c r="S116" s="3" t="s">
        <v>417</v>
      </c>
      <c r="T116" s="3" t="s">
        <v>418</v>
      </c>
    </row>
    <row r="117" spans="1:20" x14ac:dyDescent="0.3">
      <c r="A117" s="3" t="s">
        <v>419</v>
      </c>
      <c r="B117" s="3" t="s">
        <v>175</v>
      </c>
      <c r="C117" s="3" t="s">
        <v>69</v>
      </c>
      <c r="D117" s="3" t="s">
        <v>4</v>
      </c>
      <c r="E117" s="3" t="s">
        <v>48</v>
      </c>
      <c r="F117" s="3" t="s">
        <v>25</v>
      </c>
      <c r="G117" s="3" t="s">
        <v>39</v>
      </c>
      <c r="H117" s="3" t="s">
        <v>27</v>
      </c>
      <c r="I117" s="3" t="s">
        <v>98</v>
      </c>
      <c r="J117" s="3" t="s">
        <v>29</v>
      </c>
      <c r="K117" s="4">
        <v>44850</v>
      </c>
      <c r="L117" s="3">
        <v>4</v>
      </c>
      <c r="M117" s="3">
        <v>43282</v>
      </c>
      <c r="N117" s="3">
        <v>2749</v>
      </c>
      <c r="O117" s="3">
        <v>3.1</v>
      </c>
      <c r="P117" s="3" t="s">
        <v>42</v>
      </c>
      <c r="Q117" s="3" t="s">
        <v>43</v>
      </c>
      <c r="R117" s="3" t="s">
        <v>51</v>
      </c>
      <c r="S117" s="3" t="s">
        <v>420</v>
      </c>
      <c r="T117" s="3" t="s">
        <v>421</v>
      </c>
    </row>
    <row r="118" spans="1:20" x14ac:dyDescent="0.3">
      <c r="A118" s="3" t="s">
        <v>422</v>
      </c>
      <c r="B118" s="3" t="s">
        <v>79</v>
      </c>
      <c r="C118" s="3" t="s">
        <v>85</v>
      </c>
      <c r="D118" s="3" t="s">
        <v>86</v>
      </c>
      <c r="E118" s="3" t="s">
        <v>37</v>
      </c>
      <c r="F118" s="3" t="s">
        <v>25</v>
      </c>
      <c r="G118" s="3" t="s">
        <v>59</v>
      </c>
      <c r="H118" s="3" t="s">
        <v>40</v>
      </c>
      <c r="I118" s="3" t="s">
        <v>25</v>
      </c>
      <c r="J118" s="3" t="s">
        <v>41</v>
      </c>
      <c r="K118" s="4">
        <v>43381</v>
      </c>
      <c r="L118" s="3">
        <v>5</v>
      </c>
      <c r="M118" s="3">
        <v>92954</v>
      </c>
      <c r="N118" s="3">
        <v>10345</v>
      </c>
      <c r="O118" s="3">
        <v>4</v>
      </c>
      <c r="P118" s="3" t="s">
        <v>42</v>
      </c>
      <c r="Q118" s="3" t="s">
        <v>31</v>
      </c>
      <c r="R118" s="3" t="s">
        <v>64</v>
      </c>
      <c r="S118" s="3" t="s">
        <v>423</v>
      </c>
      <c r="T118" s="3" t="s">
        <v>424</v>
      </c>
    </row>
    <row r="119" spans="1:20" x14ac:dyDescent="0.3">
      <c r="A119" s="3" t="s">
        <v>425</v>
      </c>
      <c r="B119" s="3" t="s">
        <v>109</v>
      </c>
      <c r="C119" s="3" t="s">
        <v>69</v>
      </c>
      <c r="D119" s="3" t="s">
        <v>57</v>
      </c>
      <c r="E119" s="3" t="s">
        <v>58</v>
      </c>
      <c r="F119" s="3" t="s">
        <v>25</v>
      </c>
      <c r="G119" s="3" t="s">
        <v>26</v>
      </c>
      <c r="H119" s="3" t="s">
        <v>27</v>
      </c>
      <c r="I119" s="3" t="s">
        <v>98</v>
      </c>
      <c r="J119" s="3" t="s">
        <v>41</v>
      </c>
      <c r="K119" s="4">
        <v>45576</v>
      </c>
      <c r="L119" s="3">
        <v>8</v>
      </c>
      <c r="M119" s="3">
        <v>58019</v>
      </c>
      <c r="N119" s="3">
        <v>11714</v>
      </c>
      <c r="O119" s="3">
        <v>4.4000000000000004</v>
      </c>
      <c r="P119" s="3" t="s">
        <v>30</v>
      </c>
      <c r="Q119" s="3" t="s">
        <v>31</v>
      </c>
      <c r="R119" s="3" t="s">
        <v>32</v>
      </c>
      <c r="S119" s="3" t="s">
        <v>426</v>
      </c>
      <c r="T119" s="3" t="s">
        <v>427</v>
      </c>
    </row>
    <row r="120" spans="1:20" x14ac:dyDescent="0.3">
      <c r="A120" s="3" t="s">
        <v>428</v>
      </c>
      <c r="B120" s="3" t="s">
        <v>129</v>
      </c>
      <c r="C120" s="3" t="s">
        <v>22</v>
      </c>
      <c r="D120" s="3" t="s">
        <v>86</v>
      </c>
      <c r="E120" s="3" t="s">
        <v>58</v>
      </c>
      <c r="F120" s="3" t="s">
        <v>49</v>
      </c>
      <c r="G120" s="3" t="s">
        <v>81</v>
      </c>
      <c r="H120" s="3" t="s">
        <v>50</v>
      </c>
      <c r="I120" s="3" t="s">
        <v>27</v>
      </c>
      <c r="J120" s="3" t="s">
        <v>29</v>
      </c>
      <c r="K120" s="4">
        <v>44048</v>
      </c>
      <c r="L120" s="3">
        <v>14</v>
      </c>
      <c r="M120" s="3">
        <v>73147</v>
      </c>
      <c r="N120" s="3">
        <v>6572</v>
      </c>
      <c r="O120" s="3">
        <v>3.8</v>
      </c>
      <c r="P120" s="3" t="s">
        <v>30</v>
      </c>
      <c r="Q120" s="3" t="s">
        <v>31</v>
      </c>
      <c r="R120" s="3" t="s">
        <v>32</v>
      </c>
      <c r="S120" s="3" t="s">
        <v>429</v>
      </c>
      <c r="T120" s="3" t="s">
        <v>430</v>
      </c>
    </row>
    <row r="121" spans="1:20" x14ac:dyDescent="0.3">
      <c r="A121" s="3" t="s">
        <v>431</v>
      </c>
      <c r="B121" s="3" t="s">
        <v>68</v>
      </c>
      <c r="C121" s="3" t="s">
        <v>69</v>
      </c>
      <c r="D121" s="3" t="s">
        <v>57</v>
      </c>
      <c r="E121" s="3" t="s">
        <v>58</v>
      </c>
      <c r="F121" s="3" t="s">
        <v>49</v>
      </c>
      <c r="G121" s="3" t="s">
        <v>26</v>
      </c>
      <c r="H121" s="3" t="s">
        <v>27</v>
      </c>
      <c r="I121" s="3" t="s">
        <v>28</v>
      </c>
      <c r="J121" s="3" t="s">
        <v>29</v>
      </c>
      <c r="K121" s="4">
        <v>43586</v>
      </c>
      <c r="L121" s="3">
        <v>3</v>
      </c>
      <c r="M121" s="3">
        <v>38371</v>
      </c>
      <c r="N121" s="3">
        <v>2458</v>
      </c>
      <c r="O121" s="3">
        <v>5</v>
      </c>
      <c r="P121" s="3" t="s">
        <v>42</v>
      </c>
      <c r="Q121" s="3" t="s">
        <v>43</v>
      </c>
      <c r="R121" s="3" t="s">
        <v>32</v>
      </c>
      <c r="S121" s="3" t="s">
        <v>432</v>
      </c>
      <c r="T121" s="3" t="s">
        <v>433</v>
      </c>
    </row>
    <row r="122" spans="1:20" x14ac:dyDescent="0.3">
      <c r="A122" s="3" t="s">
        <v>434</v>
      </c>
      <c r="B122" s="3" t="s">
        <v>79</v>
      </c>
      <c r="C122" s="3" t="s">
        <v>69</v>
      </c>
      <c r="D122" s="3" t="s">
        <v>23</v>
      </c>
      <c r="E122" s="3" t="s">
        <v>48</v>
      </c>
      <c r="F122" s="3" t="s">
        <v>38</v>
      </c>
      <c r="G122" s="3" t="s">
        <v>81</v>
      </c>
      <c r="H122" s="3" t="s">
        <v>71</v>
      </c>
      <c r="I122" s="3" t="s">
        <v>28</v>
      </c>
      <c r="J122" s="3" t="s">
        <v>29</v>
      </c>
      <c r="K122" s="4">
        <v>44396</v>
      </c>
      <c r="L122" s="3">
        <v>8</v>
      </c>
      <c r="M122" s="3">
        <v>30908</v>
      </c>
      <c r="N122" s="3">
        <v>10272</v>
      </c>
      <c r="O122" s="3">
        <v>3.6</v>
      </c>
      <c r="P122" s="3" t="s">
        <v>30</v>
      </c>
      <c r="Q122" s="3" t="s">
        <v>43</v>
      </c>
      <c r="R122" s="3" t="s">
        <v>64</v>
      </c>
      <c r="S122" s="3" t="s">
        <v>435</v>
      </c>
      <c r="T122" s="3" t="s">
        <v>436</v>
      </c>
    </row>
    <row r="123" spans="1:20" x14ac:dyDescent="0.3">
      <c r="A123" s="3" t="s">
        <v>437</v>
      </c>
      <c r="B123" s="3" t="s">
        <v>125</v>
      </c>
      <c r="C123" s="3" t="s">
        <v>69</v>
      </c>
      <c r="D123" s="3" t="s">
        <v>70</v>
      </c>
      <c r="E123" s="3" t="s">
        <v>58</v>
      </c>
      <c r="F123" s="3" t="s">
        <v>49</v>
      </c>
      <c r="G123" s="3" t="s">
        <v>59</v>
      </c>
      <c r="H123" s="3" t="s">
        <v>97</v>
      </c>
      <c r="I123" s="3" t="s">
        <v>27</v>
      </c>
      <c r="J123" s="3" t="s">
        <v>29</v>
      </c>
      <c r="K123" s="4">
        <v>43927</v>
      </c>
      <c r="L123" s="3">
        <v>12</v>
      </c>
      <c r="M123" s="3">
        <v>69829</v>
      </c>
      <c r="N123" s="3">
        <v>13777</v>
      </c>
      <c r="O123" s="3">
        <v>4.8</v>
      </c>
      <c r="P123" s="3" t="s">
        <v>42</v>
      </c>
      <c r="Q123" s="3" t="s">
        <v>31</v>
      </c>
      <c r="R123" s="3" t="s">
        <v>32</v>
      </c>
      <c r="S123" s="3" t="s">
        <v>438</v>
      </c>
      <c r="T123" s="3" t="s">
        <v>439</v>
      </c>
    </row>
    <row r="124" spans="1:20" x14ac:dyDescent="0.3">
      <c r="A124" s="3" t="s">
        <v>440</v>
      </c>
      <c r="B124" s="3" t="s">
        <v>68</v>
      </c>
      <c r="C124" s="3" t="s">
        <v>22</v>
      </c>
      <c r="D124" s="3" t="s">
        <v>86</v>
      </c>
      <c r="E124" s="3" t="s">
        <v>37</v>
      </c>
      <c r="F124" s="3" t="s">
        <v>49</v>
      </c>
      <c r="G124" s="3" t="s">
        <v>81</v>
      </c>
      <c r="H124" s="3" t="s">
        <v>40</v>
      </c>
      <c r="I124" s="3" t="s">
        <v>49</v>
      </c>
      <c r="J124" s="3" t="s">
        <v>41</v>
      </c>
      <c r="K124" s="4">
        <v>44651</v>
      </c>
      <c r="L124" s="3">
        <v>12</v>
      </c>
      <c r="M124" s="3">
        <v>27492</v>
      </c>
      <c r="N124" s="3">
        <v>7316</v>
      </c>
      <c r="O124" s="3">
        <v>3</v>
      </c>
      <c r="P124" s="3" t="s">
        <v>42</v>
      </c>
      <c r="Q124" s="3" t="s">
        <v>43</v>
      </c>
      <c r="R124" s="3" t="s">
        <v>32</v>
      </c>
      <c r="S124" s="3" t="s">
        <v>441</v>
      </c>
      <c r="T124" s="3" t="s">
        <v>442</v>
      </c>
    </row>
    <row r="125" spans="1:20" x14ac:dyDescent="0.3">
      <c r="A125" s="3" t="s">
        <v>443</v>
      </c>
      <c r="B125" s="3" t="s">
        <v>75</v>
      </c>
      <c r="C125" s="3" t="s">
        <v>85</v>
      </c>
      <c r="D125" s="3" t="s">
        <v>23</v>
      </c>
      <c r="E125" s="3" t="s">
        <v>24</v>
      </c>
      <c r="F125" s="3" t="s">
        <v>27</v>
      </c>
      <c r="G125" s="3" t="s">
        <v>39</v>
      </c>
      <c r="H125" s="3" t="s">
        <v>97</v>
      </c>
      <c r="I125" s="3" t="s">
        <v>49</v>
      </c>
      <c r="J125" s="3" t="s">
        <v>41</v>
      </c>
      <c r="K125" s="4">
        <v>45361</v>
      </c>
      <c r="L125" s="3">
        <v>5</v>
      </c>
      <c r="M125" s="3">
        <v>81372</v>
      </c>
      <c r="N125" s="3">
        <v>6756</v>
      </c>
      <c r="O125" s="3">
        <v>3.8</v>
      </c>
      <c r="P125" s="3" t="s">
        <v>30</v>
      </c>
      <c r="Q125" s="3" t="s">
        <v>43</v>
      </c>
      <c r="R125" s="3" t="s">
        <v>32</v>
      </c>
      <c r="S125" s="3" t="s">
        <v>444</v>
      </c>
      <c r="T125" s="3" t="s">
        <v>445</v>
      </c>
    </row>
    <row r="126" spans="1:20" x14ac:dyDescent="0.3">
      <c r="A126" s="3" t="s">
        <v>446</v>
      </c>
      <c r="B126" s="3" t="s">
        <v>79</v>
      </c>
      <c r="C126" s="3" t="s">
        <v>56</v>
      </c>
      <c r="D126" s="3" t="s">
        <v>23</v>
      </c>
      <c r="E126" s="3" t="s">
        <v>24</v>
      </c>
      <c r="F126" s="3" t="s">
        <v>27</v>
      </c>
      <c r="G126" s="3" t="s">
        <v>59</v>
      </c>
      <c r="H126" s="3" t="s">
        <v>27</v>
      </c>
      <c r="I126" s="3" t="s">
        <v>38</v>
      </c>
      <c r="J126" s="3" t="s">
        <v>41</v>
      </c>
      <c r="K126" s="4">
        <v>43157</v>
      </c>
      <c r="L126" s="3">
        <v>13</v>
      </c>
      <c r="M126" s="3">
        <v>48999</v>
      </c>
      <c r="N126" s="3">
        <v>10480</v>
      </c>
      <c r="O126" s="3">
        <v>4.4000000000000004</v>
      </c>
      <c r="P126" s="3" t="s">
        <v>30</v>
      </c>
      <c r="Q126" s="3" t="s">
        <v>43</v>
      </c>
      <c r="R126" s="3" t="s">
        <v>32</v>
      </c>
      <c r="S126" s="3" t="s">
        <v>447</v>
      </c>
      <c r="T126" s="3" t="s">
        <v>448</v>
      </c>
    </row>
    <row r="127" spans="1:20" x14ac:dyDescent="0.3">
      <c r="A127" s="3" t="s">
        <v>449</v>
      </c>
      <c r="B127" s="3" t="s">
        <v>68</v>
      </c>
      <c r="C127" s="3" t="s">
        <v>36</v>
      </c>
      <c r="D127" s="3" t="s">
        <v>23</v>
      </c>
      <c r="E127" s="3" t="s">
        <v>80</v>
      </c>
      <c r="F127" s="3" t="s">
        <v>49</v>
      </c>
      <c r="G127" s="3" t="s">
        <v>59</v>
      </c>
      <c r="H127" s="3" t="s">
        <v>97</v>
      </c>
      <c r="I127" s="3" t="s">
        <v>38</v>
      </c>
      <c r="J127" s="3" t="s">
        <v>41</v>
      </c>
      <c r="K127" s="4">
        <v>44838</v>
      </c>
      <c r="L127" s="3">
        <v>12</v>
      </c>
      <c r="M127" s="3">
        <v>30993</v>
      </c>
      <c r="N127" s="3">
        <v>11962</v>
      </c>
      <c r="O127" s="3">
        <v>3.3</v>
      </c>
      <c r="P127" s="3" t="s">
        <v>42</v>
      </c>
      <c r="Q127" s="3" t="s">
        <v>60</v>
      </c>
      <c r="R127" s="3" t="s">
        <v>64</v>
      </c>
      <c r="S127" s="3" t="s">
        <v>450</v>
      </c>
      <c r="T127" s="3" t="s">
        <v>451</v>
      </c>
    </row>
    <row r="128" spans="1:20" x14ac:dyDescent="0.3">
      <c r="A128" s="3" t="s">
        <v>452</v>
      </c>
      <c r="B128" s="3" t="s">
        <v>90</v>
      </c>
      <c r="C128" s="3" t="s">
        <v>85</v>
      </c>
      <c r="D128" s="3" t="s">
        <v>4</v>
      </c>
      <c r="E128" s="3" t="s">
        <v>80</v>
      </c>
      <c r="F128" s="3" t="s">
        <v>28</v>
      </c>
      <c r="G128" s="3" t="s">
        <v>81</v>
      </c>
      <c r="H128" s="3" t="s">
        <v>71</v>
      </c>
      <c r="I128" s="3" t="s">
        <v>25</v>
      </c>
      <c r="J128" s="3" t="s">
        <v>41</v>
      </c>
      <c r="K128" s="4">
        <v>44667</v>
      </c>
      <c r="L128" s="3">
        <v>14</v>
      </c>
      <c r="M128" s="3">
        <v>27375</v>
      </c>
      <c r="N128" s="3">
        <v>3267</v>
      </c>
      <c r="O128" s="3">
        <v>3.3</v>
      </c>
      <c r="P128" s="3" t="s">
        <v>30</v>
      </c>
      <c r="Q128" s="3" t="s">
        <v>60</v>
      </c>
      <c r="R128" s="3" t="s">
        <v>32</v>
      </c>
      <c r="S128" s="3" t="s">
        <v>453</v>
      </c>
      <c r="T128" s="3" t="s">
        <v>454</v>
      </c>
    </row>
    <row r="129" spans="1:20" x14ac:dyDescent="0.3">
      <c r="A129" s="3" t="s">
        <v>455</v>
      </c>
      <c r="B129" s="3" t="s">
        <v>109</v>
      </c>
      <c r="C129" s="3" t="s">
        <v>36</v>
      </c>
      <c r="D129" s="3" t="s">
        <v>4</v>
      </c>
      <c r="E129" s="3" t="s">
        <v>80</v>
      </c>
      <c r="F129" s="3" t="s">
        <v>28</v>
      </c>
      <c r="G129" s="3" t="s">
        <v>39</v>
      </c>
      <c r="H129" s="3" t="s">
        <v>97</v>
      </c>
      <c r="I129" s="3" t="s">
        <v>25</v>
      </c>
      <c r="J129" s="3" t="s">
        <v>29</v>
      </c>
      <c r="K129" s="4">
        <v>43447</v>
      </c>
      <c r="L129" s="3">
        <v>3</v>
      </c>
      <c r="M129" s="3">
        <v>35560</v>
      </c>
      <c r="N129" s="3">
        <v>7898</v>
      </c>
      <c r="O129" s="3">
        <v>4.8</v>
      </c>
      <c r="P129" s="3" t="s">
        <v>42</v>
      </c>
      <c r="Q129" s="3" t="s">
        <v>31</v>
      </c>
      <c r="R129" s="3" t="s">
        <v>32</v>
      </c>
      <c r="S129" s="3" t="s">
        <v>456</v>
      </c>
      <c r="T129" s="3" t="s">
        <v>457</v>
      </c>
    </row>
    <row r="130" spans="1:20" x14ac:dyDescent="0.3">
      <c r="A130" s="3" t="s">
        <v>458</v>
      </c>
      <c r="B130" s="3" t="s">
        <v>21</v>
      </c>
      <c r="C130" s="3" t="s">
        <v>22</v>
      </c>
      <c r="D130" s="3" t="s">
        <v>86</v>
      </c>
      <c r="E130" s="3" t="s">
        <v>58</v>
      </c>
      <c r="F130" s="3" t="s">
        <v>38</v>
      </c>
      <c r="G130" s="3" t="s">
        <v>39</v>
      </c>
      <c r="H130" s="3" t="s">
        <v>71</v>
      </c>
      <c r="I130" s="3" t="s">
        <v>38</v>
      </c>
      <c r="J130" s="3" t="s">
        <v>29</v>
      </c>
      <c r="K130" s="4">
        <v>43137</v>
      </c>
      <c r="L130" s="3">
        <v>1</v>
      </c>
      <c r="M130" s="3">
        <v>30846</v>
      </c>
      <c r="N130" s="3">
        <v>8732</v>
      </c>
      <c r="O130" s="3">
        <v>3.2</v>
      </c>
      <c r="P130" s="3" t="s">
        <v>42</v>
      </c>
      <c r="Q130" s="3" t="s">
        <v>60</v>
      </c>
      <c r="R130" s="3" t="s">
        <v>64</v>
      </c>
      <c r="S130" s="3" t="s">
        <v>459</v>
      </c>
      <c r="T130" s="3" t="s">
        <v>460</v>
      </c>
    </row>
    <row r="131" spans="1:20" x14ac:dyDescent="0.3">
      <c r="A131" s="3" t="s">
        <v>461</v>
      </c>
      <c r="B131" s="3" t="s">
        <v>175</v>
      </c>
      <c r="C131" s="3" t="s">
        <v>36</v>
      </c>
      <c r="D131" s="3" t="s">
        <v>70</v>
      </c>
      <c r="E131" s="3" t="s">
        <v>37</v>
      </c>
      <c r="F131" s="3" t="s">
        <v>49</v>
      </c>
      <c r="G131" s="3" t="s">
        <v>59</v>
      </c>
      <c r="H131" s="3" t="s">
        <v>71</v>
      </c>
      <c r="I131" s="3" t="s">
        <v>38</v>
      </c>
      <c r="J131" s="3" t="s">
        <v>29</v>
      </c>
      <c r="K131" s="4">
        <v>43122</v>
      </c>
      <c r="L131" s="3">
        <v>13</v>
      </c>
      <c r="M131" s="3">
        <v>54552</v>
      </c>
      <c r="N131" s="3">
        <v>7762</v>
      </c>
      <c r="O131" s="3">
        <v>3</v>
      </c>
      <c r="P131" s="3" t="s">
        <v>42</v>
      </c>
      <c r="Q131" s="3" t="s">
        <v>31</v>
      </c>
      <c r="R131" s="3" t="s">
        <v>64</v>
      </c>
      <c r="S131" s="3" t="s">
        <v>462</v>
      </c>
      <c r="T131" s="3" t="s">
        <v>463</v>
      </c>
    </row>
    <row r="132" spans="1:20" x14ac:dyDescent="0.3">
      <c r="A132" s="3" t="s">
        <v>464</v>
      </c>
      <c r="B132" s="3" t="s">
        <v>129</v>
      </c>
      <c r="C132" s="3" t="s">
        <v>85</v>
      </c>
      <c r="D132" s="3" t="s">
        <v>4</v>
      </c>
      <c r="E132" s="3" t="s">
        <v>48</v>
      </c>
      <c r="F132" s="3" t="s">
        <v>25</v>
      </c>
      <c r="G132" s="3" t="s">
        <v>81</v>
      </c>
      <c r="H132" s="3" t="s">
        <v>71</v>
      </c>
      <c r="I132" s="3" t="s">
        <v>25</v>
      </c>
      <c r="J132" s="3" t="s">
        <v>29</v>
      </c>
      <c r="K132" s="4">
        <v>43782</v>
      </c>
      <c r="L132" s="3">
        <v>1</v>
      </c>
      <c r="M132" s="3">
        <v>60903</v>
      </c>
      <c r="N132" s="3">
        <v>12249</v>
      </c>
      <c r="O132" s="3">
        <v>3.6</v>
      </c>
      <c r="P132" s="3" t="s">
        <v>30</v>
      </c>
      <c r="Q132" s="3" t="s">
        <v>43</v>
      </c>
      <c r="R132" s="3" t="s">
        <v>64</v>
      </c>
      <c r="S132" s="3" t="s">
        <v>465</v>
      </c>
      <c r="T132" s="3" t="s">
        <v>466</v>
      </c>
    </row>
    <row r="133" spans="1:20" x14ac:dyDescent="0.3">
      <c r="A133" s="3" t="s">
        <v>467</v>
      </c>
      <c r="B133" s="3" t="s">
        <v>109</v>
      </c>
      <c r="C133" s="3" t="s">
        <v>22</v>
      </c>
      <c r="D133" s="3" t="s">
        <v>86</v>
      </c>
      <c r="E133" s="3" t="s">
        <v>48</v>
      </c>
      <c r="F133" s="3" t="s">
        <v>38</v>
      </c>
      <c r="G133" s="3" t="s">
        <v>39</v>
      </c>
      <c r="H133" s="3" t="s">
        <v>27</v>
      </c>
      <c r="I133" s="3" t="s">
        <v>38</v>
      </c>
      <c r="J133" s="3" t="s">
        <v>29</v>
      </c>
      <c r="K133" s="4">
        <v>43660</v>
      </c>
      <c r="L133" s="3">
        <v>12</v>
      </c>
      <c r="M133" s="3">
        <v>42593</v>
      </c>
      <c r="N133" s="3">
        <v>14650</v>
      </c>
      <c r="O133" s="3">
        <v>3.7</v>
      </c>
      <c r="P133" s="3" t="s">
        <v>42</v>
      </c>
      <c r="Q133" s="3" t="s">
        <v>60</v>
      </c>
      <c r="R133" s="3" t="s">
        <v>64</v>
      </c>
      <c r="S133" s="3" t="s">
        <v>468</v>
      </c>
      <c r="T133" s="3" t="s">
        <v>469</v>
      </c>
    </row>
    <row r="134" spans="1:20" x14ac:dyDescent="0.3">
      <c r="A134" s="3" t="s">
        <v>470</v>
      </c>
      <c r="B134" s="3" t="s">
        <v>47</v>
      </c>
      <c r="C134" s="3" t="s">
        <v>56</v>
      </c>
      <c r="D134" s="3" t="s">
        <v>4</v>
      </c>
      <c r="E134" s="3" t="s">
        <v>80</v>
      </c>
      <c r="F134" s="3" t="s">
        <v>98</v>
      </c>
      <c r="G134" s="3" t="s">
        <v>26</v>
      </c>
      <c r="H134" s="3" t="s">
        <v>97</v>
      </c>
      <c r="I134" s="3" t="s">
        <v>25</v>
      </c>
      <c r="J134" s="3" t="s">
        <v>41</v>
      </c>
      <c r="K134" s="4">
        <v>44610</v>
      </c>
      <c r="L134" s="3">
        <v>0</v>
      </c>
      <c r="M134" s="3">
        <v>62552</v>
      </c>
      <c r="N134" s="3">
        <v>2844</v>
      </c>
      <c r="O134" s="3">
        <v>4.0999999999999996</v>
      </c>
      <c r="P134" s="3" t="s">
        <v>42</v>
      </c>
      <c r="Q134" s="3" t="s">
        <v>31</v>
      </c>
      <c r="R134" s="3" t="s">
        <v>64</v>
      </c>
      <c r="S134" s="3" t="s">
        <v>471</v>
      </c>
      <c r="T134" s="3" t="s">
        <v>472</v>
      </c>
    </row>
    <row r="135" spans="1:20" x14ac:dyDescent="0.3">
      <c r="A135" s="3" t="s">
        <v>473</v>
      </c>
      <c r="B135" s="3" t="s">
        <v>171</v>
      </c>
      <c r="C135" s="3" t="s">
        <v>56</v>
      </c>
      <c r="D135" s="3" t="s">
        <v>4</v>
      </c>
      <c r="E135" s="3" t="s">
        <v>58</v>
      </c>
      <c r="F135" s="3" t="s">
        <v>98</v>
      </c>
      <c r="G135" s="3" t="s">
        <v>26</v>
      </c>
      <c r="H135" s="3" t="s">
        <v>71</v>
      </c>
      <c r="I135" s="3" t="s">
        <v>98</v>
      </c>
      <c r="J135" s="3" t="s">
        <v>29</v>
      </c>
      <c r="K135" s="4">
        <v>45356</v>
      </c>
      <c r="L135" s="3">
        <v>2</v>
      </c>
      <c r="M135" s="3">
        <v>65292</v>
      </c>
      <c r="N135" s="3">
        <v>12894</v>
      </c>
      <c r="O135" s="3">
        <v>4.4000000000000004</v>
      </c>
      <c r="P135" s="3" t="s">
        <v>30</v>
      </c>
      <c r="Q135" s="3" t="s">
        <v>43</v>
      </c>
      <c r="R135" s="3" t="s">
        <v>64</v>
      </c>
      <c r="S135" s="3" t="s">
        <v>474</v>
      </c>
      <c r="T135" s="3" t="s">
        <v>475</v>
      </c>
    </row>
    <row r="136" spans="1:20" x14ac:dyDescent="0.3">
      <c r="A136" s="3" t="s">
        <v>476</v>
      </c>
      <c r="B136" s="3" t="s">
        <v>143</v>
      </c>
      <c r="C136" s="3" t="s">
        <v>102</v>
      </c>
      <c r="D136" s="3" t="s">
        <v>70</v>
      </c>
      <c r="E136" s="3" t="s">
        <v>80</v>
      </c>
      <c r="F136" s="3" t="s">
        <v>38</v>
      </c>
      <c r="G136" s="3" t="s">
        <v>59</v>
      </c>
      <c r="H136" s="3" t="s">
        <v>27</v>
      </c>
      <c r="I136" s="3" t="s">
        <v>27</v>
      </c>
      <c r="J136" s="3" t="s">
        <v>29</v>
      </c>
      <c r="K136" s="4">
        <v>44867</v>
      </c>
      <c r="L136" s="3">
        <v>0</v>
      </c>
      <c r="M136" s="3">
        <v>71835</v>
      </c>
      <c r="N136" s="3">
        <v>14508</v>
      </c>
      <c r="O136" s="3">
        <v>4.8</v>
      </c>
      <c r="P136" s="3" t="s">
        <v>42</v>
      </c>
      <c r="Q136" s="3" t="s">
        <v>31</v>
      </c>
      <c r="R136" s="3" t="s">
        <v>32</v>
      </c>
      <c r="S136" s="3" t="s">
        <v>477</v>
      </c>
      <c r="T136" s="3" t="s">
        <v>478</v>
      </c>
    </row>
    <row r="137" spans="1:20" x14ac:dyDescent="0.3">
      <c r="A137" s="3" t="s">
        <v>479</v>
      </c>
      <c r="B137" s="3" t="s">
        <v>109</v>
      </c>
      <c r="C137" s="3" t="s">
        <v>56</v>
      </c>
      <c r="D137" s="3" t="s">
        <v>4</v>
      </c>
      <c r="E137" s="3" t="s">
        <v>58</v>
      </c>
      <c r="F137" s="3" t="s">
        <v>98</v>
      </c>
      <c r="G137" s="3" t="s">
        <v>26</v>
      </c>
      <c r="H137" s="3" t="s">
        <v>71</v>
      </c>
      <c r="I137" s="3" t="s">
        <v>27</v>
      </c>
      <c r="J137" s="3" t="s">
        <v>41</v>
      </c>
      <c r="K137" s="4">
        <v>43855</v>
      </c>
      <c r="L137" s="3">
        <v>8</v>
      </c>
      <c r="M137" s="3">
        <v>78582</v>
      </c>
      <c r="N137" s="3">
        <v>9055</v>
      </c>
      <c r="O137" s="3">
        <v>4.9000000000000004</v>
      </c>
      <c r="P137" s="3" t="s">
        <v>30</v>
      </c>
      <c r="Q137" s="3" t="s">
        <v>43</v>
      </c>
      <c r="R137" s="3" t="s">
        <v>64</v>
      </c>
      <c r="S137" s="3" t="s">
        <v>480</v>
      </c>
      <c r="T137" s="3" t="s">
        <v>481</v>
      </c>
    </row>
    <row r="138" spans="1:20" x14ac:dyDescent="0.3">
      <c r="A138" s="3" t="s">
        <v>482</v>
      </c>
      <c r="B138" s="3" t="s">
        <v>129</v>
      </c>
      <c r="C138" s="3" t="s">
        <v>36</v>
      </c>
      <c r="D138" s="3" t="s">
        <v>23</v>
      </c>
      <c r="E138" s="3" t="s">
        <v>24</v>
      </c>
      <c r="F138" s="3" t="s">
        <v>98</v>
      </c>
      <c r="G138" s="3" t="s">
        <v>81</v>
      </c>
      <c r="H138" s="3" t="s">
        <v>40</v>
      </c>
      <c r="I138" s="3" t="s">
        <v>98</v>
      </c>
      <c r="J138" s="3" t="s">
        <v>29</v>
      </c>
      <c r="K138" s="4">
        <v>44165</v>
      </c>
      <c r="L138" s="3">
        <v>12</v>
      </c>
      <c r="M138" s="3">
        <v>85303</v>
      </c>
      <c r="N138" s="3">
        <v>3722</v>
      </c>
      <c r="O138" s="3">
        <v>3.4</v>
      </c>
      <c r="P138" s="3" t="s">
        <v>42</v>
      </c>
      <c r="Q138" s="3" t="s">
        <v>43</v>
      </c>
      <c r="R138" s="3" t="s">
        <v>32</v>
      </c>
      <c r="S138" s="3" t="s">
        <v>483</v>
      </c>
      <c r="T138" s="3" t="s">
        <v>484</v>
      </c>
    </row>
    <row r="139" spans="1:20" x14ac:dyDescent="0.3">
      <c r="A139" s="3" t="s">
        <v>485</v>
      </c>
      <c r="B139" s="3" t="s">
        <v>90</v>
      </c>
      <c r="C139" s="3" t="s">
        <v>22</v>
      </c>
      <c r="D139" s="3" t="s">
        <v>70</v>
      </c>
      <c r="E139" s="3" t="s">
        <v>58</v>
      </c>
      <c r="F139" s="3" t="s">
        <v>49</v>
      </c>
      <c r="G139" s="3" t="s">
        <v>59</v>
      </c>
      <c r="H139" s="3" t="s">
        <v>97</v>
      </c>
      <c r="I139" s="3" t="s">
        <v>25</v>
      </c>
      <c r="J139" s="3" t="s">
        <v>29</v>
      </c>
      <c r="K139" s="4">
        <v>45347</v>
      </c>
      <c r="L139" s="3">
        <v>0</v>
      </c>
      <c r="M139" s="3">
        <v>44148</v>
      </c>
      <c r="N139" s="3">
        <v>11690</v>
      </c>
      <c r="O139" s="3">
        <v>5</v>
      </c>
      <c r="P139" s="3" t="s">
        <v>42</v>
      </c>
      <c r="Q139" s="3" t="s">
        <v>60</v>
      </c>
      <c r="R139" s="3" t="s">
        <v>51</v>
      </c>
      <c r="S139" s="3" t="s">
        <v>486</v>
      </c>
      <c r="T139" s="3" t="s">
        <v>487</v>
      </c>
    </row>
    <row r="140" spans="1:20" x14ac:dyDescent="0.3">
      <c r="A140" s="3" t="s">
        <v>488</v>
      </c>
      <c r="B140" s="3" t="s">
        <v>68</v>
      </c>
      <c r="C140" s="3" t="s">
        <v>102</v>
      </c>
      <c r="D140" s="3" t="s">
        <v>86</v>
      </c>
      <c r="E140" s="3" t="s">
        <v>37</v>
      </c>
      <c r="F140" s="3" t="s">
        <v>38</v>
      </c>
      <c r="G140" s="3" t="s">
        <v>59</v>
      </c>
      <c r="H140" s="3" t="s">
        <v>40</v>
      </c>
      <c r="I140" s="3" t="s">
        <v>25</v>
      </c>
      <c r="J140" s="3" t="s">
        <v>29</v>
      </c>
      <c r="K140" s="4">
        <v>44041</v>
      </c>
      <c r="L140" s="3">
        <v>3</v>
      </c>
      <c r="M140" s="3">
        <v>30254</v>
      </c>
      <c r="N140" s="3">
        <v>4040</v>
      </c>
      <c r="O140" s="3">
        <v>4.9000000000000004</v>
      </c>
      <c r="P140" s="3" t="s">
        <v>42</v>
      </c>
      <c r="Q140" s="3" t="s">
        <v>60</v>
      </c>
      <c r="R140" s="3" t="s">
        <v>32</v>
      </c>
      <c r="S140" s="3" t="s">
        <v>489</v>
      </c>
      <c r="T140" s="3" t="s">
        <v>490</v>
      </c>
    </row>
    <row r="141" spans="1:20" x14ac:dyDescent="0.3">
      <c r="A141" s="3" t="s">
        <v>491</v>
      </c>
      <c r="B141" s="3" t="s">
        <v>47</v>
      </c>
      <c r="C141" s="3" t="s">
        <v>56</v>
      </c>
      <c r="D141" s="3" t="s">
        <v>70</v>
      </c>
      <c r="E141" s="3" t="s">
        <v>48</v>
      </c>
      <c r="F141" s="3" t="s">
        <v>27</v>
      </c>
      <c r="G141" s="3" t="s">
        <v>39</v>
      </c>
      <c r="H141" s="3" t="s">
        <v>40</v>
      </c>
      <c r="I141" s="3" t="s">
        <v>28</v>
      </c>
      <c r="J141" s="3" t="s">
        <v>29</v>
      </c>
      <c r="K141" s="4">
        <v>45319</v>
      </c>
      <c r="L141" s="3">
        <v>15</v>
      </c>
      <c r="M141" s="3">
        <v>52693</v>
      </c>
      <c r="N141" s="3">
        <v>12844</v>
      </c>
      <c r="O141" s="3">
        <v>4.5</v>
      </c>
      <c r="P141" s="3" t="s">
        <v>42</v>
      </c>
      <c r="Q141" s="3" t="s">
        <v>60</v>
      </c>
      <c r="R141" s="3" t="s">
        <v>32</v>
      </c>
      <c r="S141" s="3" t="s">
        <v>492</v>
      </c>
      <c r="T141" s="3" t="s">
        <v>493</v>
      </c>
    </row>
    <row r="142" spans="1:20" x14ac:dyDescent="0.3">
      <c r="A142" s="3" t="s">
        <v>494</v>
      </c>
      <c r="B142" s="3" t="s">
        <v>143</v>
      </c>
      <c r="C142" s="3" t="s">
        <v>69</v>
      </c>
      <c r="D142" s="3" t="s">
        <v>4</v>
      </c>
      <c r="E142" s="3" t="s">
        <v>24</v>
      </c>
      <c r="F142" s="3" t="s">
        <v>25</v>
      </c>
      <c r="G142" s="3" t="s">
        <v>26</v>
      </c>
      <c r="H142" s="3" t="s">
        <v>40</v>
      </c>
      <c r="I142" s="3" t="s">
        <v>25</v>
      </c>
      <c r="J142" s="3" t="s">
        <v>41</v>
      </c>
      <c r="K142" s="4">
        <v>45150</v>
      </c>
      <c r="L142" s="3">
        <v>9</v>
      </c>
      <c r="M142" s="3">
        <v>45252</v>
      </c>
      <c r="N142" s="3">
        <v>14244</v>
      </c>
      <c r="O142" s="3">
        <v>3.1</v>
      </c>
      <c r="P142" s="3" t="s">
        <v>30</v>
      </c>
      <c r="Q142" s="3" t="s">
        <v>31</v>
      </c>
      <c r="R142" s="3" t="s">
        <v>51</v>
      </c>
      <c r="S142" s="3" t="s">
        <v>495</v>
      </c>
      <c r="T142" s="3" t="s">
        <v>496</v>
      </c>
    </row>
    <row r="143" spans="1:20" x14ac:dyDescent="0.3">
      <c r="A143" s="3" t="s">
        <v>497</v>
      </c>
      <c r="B143" s="3" t="s">
        <v>90</v>
      </c>
      <c r="C143" s="3" t="s">
        <v>85</v>
      </c>
      <c r="D143" s="3" t="s">
        <v>4</v>
      </c>
      <c r="E143" s="3" t="s">
        <v>80</v>
      </c>
      <c r="F143" s="3" t="s">
        <v>98</v>
      </c>
      <c r="G143" s="3" t="s">
        <v>59</v>
      </c>
      <c r="H143" s="3" t="s">
        <v>40</v>
      </c>
      <c r="I143" s="3" t="s">
        <v>38</v>
      </c>
      <c r="J143" s="3" t="s">
        <v>41</v>
      </c>
      <c r="K143" s="4">
        <v>43750</v>
      </c>
      <c r="L143" s="3">
        <v>9</v>
      </c>
      <c r="M143" s="3">
        <v>38289</v>
      </c>
      <c r="N143" s="3">
        <v>11322</v>
      </c>
      <c r="O143" s="3">
        <v>4.2</v>
      </c>
      <c r="P143" s="3" t="s">
        <v>42</v>
      </c>
      <c r="Q143" s="3" t="s">
        <v>43</v>
      </c>
      <c r="R143" s="3" t="s">
        <v>32</v>
      </c>
      <c r="S143" s="3" t="s">
        <v>498</v>
      </c>
      <c r="T143" s="3" t="s">
        <v>499</v>
      </c>
    </row>
    <row r="144" spans="1:20" x14ac:dyDescent="0.3">
      <c r="A144" s="3" t="s">
        <v>500</v>
      </c>
      <c r="B144" s="3" t="s">
        <v>55</v>
      </c>
      <c r="C144" s="3" t="s">
        <v>22</v>
      </c>
      <c r="D144" s="3" t="s">
        <v>4</v>
      </c>
      <c r="E144" s="3" t="s">
        <v>37</v>
      </c>
      <c r="F144" s="3" t="s">
        <v>25</v>
      </c>
      <c r="G144" s="3" t="s">
        <v>39</v>
      </c>
      <c r="H144" s="3" t="s">
        <v>27</v>
      </c>
      <c r="I144" s="3" t="s">
        <v>98</v>
      </c>
      <c r="J144" s="3" t="s">
        <v>29</v>
      </c>
      <c r="K144" s="4">
        <v>43365</v>
      </c>
      <c r="L144" s="3">
        <v>3</v>
      </c>
      <c r="M144" s="3">
        <v>34192</v>
      </c>
      <c r="N144" s="3">
        <v>14728</v>
      </c>
      <c r="O144" s="3">
        <v>4.3</v>
      </c>
      <c r="P144" s="3" t="s">
        <v>42</v>
      </c>
      <c r="Q144" s="3" t="s">
        <v>43</v>
      </c>
      <c r="R144" s="3" t="s">
        <v>64</v>
      </c>
      <c r="S144" s="3" t="s">
        <v>501</v>
      </c>
      <c r="T144" s="3" t="s">
        <v>502</v>
      </c>
    </row>
    <row r="145" spans="1:20" x14ac:dyDescent="0.3">
      <c r="A145" s="3" t="s">
        <v>503</v>
      </c>
      <c r="B145" s="3" t="s">
        <v>129</v>
      </c>
      <c r="C145" s="3" t="s">
        <v>22</v>
      </c>
      <c r="D145" s="3" t="s">
        <v>57</v>
      </c>
      <c r="E145" s="3" t="s">
        <v>37</v>
      </c>
      <c r="F145" s="3" t="s">
        <v>38</v>
      </c>
      <c r="G145" s="3" t="s">
        <v>26</v>
      </c>
      <c r="H145" s="3" t="s">
        <v>50</v>
      </c>
      <c r="I145" s="3" t="s">
        <v>27</v>
      </c>
      <c r="J145" s="3" t="s">
        <v>29</v>
      </c>
      <c r="K145" s="4">
        <v>45189</v>
      </c>
      <c r="L145" s="3">
        <v>8</v>
      </c>
      <c r="M145" s="3">
        <v>65705</v>
      </c>
      <c r="N145" s="3">
        <v>11153</v>
      </c>
      <c r="O145" s="3">
        <v>3.1</v>
      </c>
      <c r="P145" s="3" t="s">
        <v>30</v>
      </c>
      <c r="Q145" s="3" t="s">
        <v>43</v>
      </c>
      <c r="R145" s="3" t="s">
        <v>51</v>
      </c>
      <c r="S145" s="3" t="s">
        <v>504</v>
      </c>
      <c r="T145" s="3" t="s">
        <v>505</v>
      </c>
    </row>
    <row r="146" spans="1:20" x14ac:dyDescent="0.3">
      <c r="A146" s="3" t="s">
        <v>506</v>
      </c>
      <c r="B146" s="3" t="s">
        <v>55</v>
      </c>
      <c r="C146" s="3" t="s">
        <v>69</v>
      </c>
      <c r="D146" s="3" t="s">
        <v>57</v>
      </c>
      <c r="E146" s="3" t="s">
        <v>24</v>
      </c>
      <c r="F146" s="3" t="s">
        <v>49</v>
      </c>
      <c r="G146" s="3" t="s">
        <v>26</v>
      </c>
      <c r="H146" s="3" t="s">
        <v>40</v>
      </c>
      <c r="I146" s="3" t="s">
        <v>49</v>
      </c>
      <c r="J146" s="3" t="s">
        <v>29</v>
      </c>
      <c r="K146" s="4">
        <v>43194</v>
      </c>
      <c r="L146" s="3">
        <v>15</v>
      </c>
      <c r="M146" s="3">
        <v>83639</v>
      </c>
      <c r="N146" s="3">
        <v>6632</v>
      </c>
      <c r="O146" s="3">
        <v>4.7</v>
      </c>
      <c r="P146" s="3" t="s">
        <v>42</v>
      </c>
      <c r="Q146" s="3" t="s">
        <v>31</v>
      </c>
      <c r="R146" s="3" t="s">
        <v>51</v>
      </c>
      <c r="S146" s="3" t="s">
        <v>507</v>
      </c>
      <c r="T146" s="3" t="s">
        <v>508</v>
      </c>
    </row>
    <row r="147" spans="1:20" x14ac:dyDescent="0.3">
      <c r="A147" s="3" t="s">
        <v>509</v>
      </c>
      <c r="B147" s="3" t="s">
        <v>175</v>
      </c>
      <c r="C147" s="3" t="s">
        <v>56</v>
      </c>
      <c r="D147" s="3" t="s">
        <v>23</v>
      </c>
      <c r="E147" s="3" t="s">
        <v>24</v>
      </c>
      <c r="F147" s="3" t="s">
        <v>25</v>
      </c>
      <c r="G147" s="3" t="s">
        <v>59</v>
      </c>
      <c r="H147" s="3" t="s">
        <v>40</v>
      </c>
      <c r="I147" s="3" t="s">
        <v>98</v>
      </c>
      <c r="J147" s="3" t="s">
        <v>41</v>
      </c>
      <c r="K147" s="4">
        <v>43920</v>
      </c>
      <c r="L147" s="3">
        <v>14</v>
      </c>
      <c r="M147" s="3">
        <v>28959</v>
      </c>
      <c r="N147" s="3">
        <v>4330</v>
      </c>
      <c r="O147" s="3">
        <v>4.2</v>
      </c>
      <c r="P147" s="3" t="s">
        <v>30</v>
      </c>
      <c r="Q147" s="3" t="s">
        <v>43</v>
      </c>
      <c r="R147" s="3" t="s">
        <v>51</v>
      </c>
      <c r="S147" s="3" t="s">
        <v>510</v>
      </c>
      <c r="T147" s="3" t="s">
        <v>511</v>
      </c>
    </row>
    <row r="148" spans="1:20" x14ac:dyDescent="0.3">
      <c r="A148" s="3" t="s">
        <v>512</v>
      </c>
      <c r="B148" s="3" t="s">
        <v>129</v>
      </c>
      <c r="C148" s="3" t="s">
        <v>85</v>
      </c>
      <c r="D148" s="3" t="s">
        <v>57</v>
      </c>
      <c r="E148" s="3" t="s">
        <v>58</v>
      </c>
      <c r="F148" s="3" t="s">
        <v>25</v>
      </c>
      <c r="G148" s="3" t="s">
        <v>59</v>
      </c>
      <c r="H148" s="3" t="s">
        <v>40</v>
      </c>
      <c r="I148" s="3" t="s">
        <v>25</v>
      </c>
      <c r="J148" s="3" t="s">
        <v>29</v>
      </c>
      <c r="K148" s="4">
        <v>45043</v>
      </c>
      <c r="L148" s="3">
        <v>15</v>
      </c>
      <c r="M148" s="3">
        <v>93234</v>
      </c>
      <c r="N148" s="3">
        <v>2568</v>
      </c>
      <c r="O148" s="3">
        <v>4.7</v>
      </c>
      <c r="P148" s="3" t="s">
        <v>30</v>
      </c>
      <c r="Q148" s="3" t="s">
        <v>43</v>
      </c>
      <c r="R148" s="3" t="s">
        <v>32</v>
      </c>
      <c r="S148" s="3" t="s">
        <v>513</v>
      </c>
      <c r="T148" s="3" t="s">
        <v>514</v>
      </c>
    </row>
    <row r="149" spans="1:20" x14ac:dyDescent="0.3">
      <c r="A149" s="3" t="s">
        <v>515</v>
      </c>
      <c r="B149" s="3" t="s">
        <v>68</v>
      </c>
      <c r="C149" s="3" t="s">
        <v>69</v>
      </c>
      <c r="D149" s="3" t="s">
        <v>23</v>
      </c>
      <c r="E149" s="3" t="s">
        <v>48</v>
      </c>
      <c r="F149" s="3" t="s">
        <v>98</v>
      </c>
      <c r="G149" s="3" t="s">
        <v>39</v>
      </c>
      <c r="H149" s="3" t="s">
        <v>50</v>
      </c>
      <c r="I149" s="3" t="s">
        <v>38</v>
      </c>
      <c r="J149" s="3" t="s">
        <v>29</v>
      </c>
      <c r="K149" s="4">
        <v>43697</v>
      </c>
      <c r="L149" s="3">
        <v>4</v>
      </c>
      <c r="M149" s="3">
        <v>42007</v>
      </c>
      <c r="N149" s="3">
        <v>8299</v>
      </c>
      <c r="O149" s="3">
        <v>3</v>
      </c>
      <c r="P149" s="3" t="s">
        <v>30</v>
      </c>
      <c r="Q149" s="3" t="s">
        <v>31</v>
      </c>
      <c r="R149" s="3" t="s">
        <v>32</v>
      </c>
      <c r="S149" s="3" t="s">
        <v>516</v>
      </c>
      <c r="T149" s="3" t="s">
        <v>517</v>
      </c>
    </row>
    <row r="150" spans="1:20" x14ac:dyDescent="0.3">
      <c r="A150" s="3" t="s">
        <v>518</v>
      </c>
      <c r="B150" s="3" t="s">
        <v>90</v>
      </c>
      <c r="C150" s="3" t="s">
        <v>56</v>
      </c>
      <c r="D150" s="3" t="s">
        <v>86</v>
      </c>
      <c r="E150" s="3" t="s">
        <v>48</v>
      </c>
      <c r="F150" s="3" t="s">
        <v>38</v>
      </c>
      <c r="G150" s="3" t="s">
        <v>39</v>
      </c>
      <c r="H150" s="3" t="s">
        <v>97</v>
      </c>
      <c r="I150" s="3" t="s">
        <v>28</v>
      </c>
      <c r="J150" s="3" t="s">
        <v>29</v>
      </c>
      <c r="K150" s="4">
        <v>44228</v>
      </c>
      <c r="L150" s="3">
        <v>6</v>
      </c>
      <c r="M150" s="3">
        <v>67593</v>
      </c>
      <c r="N150" s="3">
        <v>2032</v>
      </c>
      <c r="O150" s="3">
        <v>4.5</v>
      </c>
      <c r="P150" s="3" t="s">
        <v>30</v>
      </c>
      <c r="Q150" s="3" t="s">
        <v>31</v>
      </c>
      <c r="R150" s="3" t="s">
        <v>51</v>
      </c>
      <c r="S150" s="3" t="s">
        <v>519</v>
      </c>
      <c r="T150" s="3" t="s">
        <v>520</v>
      </c>
    </row>
    <row r="151" spans="1:20" x14ac:dyDescent="0.3">
      <c r="A151" s="3" t="s">
        <v>521</v>
      </c>
      <c r="B151" s="3" t="s">
        <v>68</v>
      </c>
      <c r="C151" s="3" t="s">
        <v>69</v>
      </c>
      <c r="D151" s="3" t="s">
        <v>23</v>
      </c>
      <c r="E151" s="3" t="s">
        <v>48</v>
      </c>
      <c r="F151" s="3" t="s">
        <v>28</v>
      </c>
      <c r="G151" s="3" t="s">
        <v>81</v>
      </c>
      <c r="H151" s="3" t="s">
        <v>40</v>
      </c>
      <c r="I151" s="3" t="s">
        <v>98</v>
      </c>
      <c r="J151" s="3" t="s">
        <v>41</v>
      </c>
      <c r="K151" s="4">
        <v>44271</v>
      </c>
      <c r="L151" s="3">
        <v>9</v>
      </c>
      <c r="M151" s="3">
        <v>70568</v>
      </c>
      <c r="N151" s="3">
        <v>8158</v>
      </c>
      <c r="O151" s="3">
        <v>3.7</v>
      </c>
      <c r="P151" s="3" t="s">
        <v>30</v>
      </c>
      <c r="Q151" s="3" t="s">
        <v>31</v>
      </c>
      <c r="R151" s="3" t="s">
        <v>51</v>
      </c>
      <c r="S151" s="3" t="s">
        <v>522</v>
      </c>
      <c r="T151" s="3" t="s">
        <v>523</v>
      </c>
    </row>
    <row r="152" spans="1:20" x14ac:dyDescent="0.3">
      <c r="A152" s="3" t="s">
        <v>524</v>
      </c>
      <c r="B152" s="3" t="s">
        <v>143</v>
      </c>
      <c r="C152" s="3" t="s">
        <v>85</v>
      </c>
      <c r="D152" s="3" t="s">
        <v>4</v>
      </c>
      <c r="E152" s="3" t="s">
        <v>58</v>
      </c>
      <c r="F152" s="3" t="s">
        <v>49</v>
      </c>
      <c r="G152" s="3" t="s">
        <v>26</v>
      </c>
      <c r="H152" s="3" t="s">
        <v>27</v>
      </c>
      <c r="I152" s="3" t="s">
        <v>27</v>
      </c>
      <c r="J152" s="3" t="s">
        <v>29</v>
      </c>
      <c r="K152" s="4">
        <v>43802</v>
      </c>
      <c r="L152" s="3">
        <v>0</v>
      </c>
      <c r="M152" s="3">
        <v>36992</v>
      </c>
      <c r="N152" s="3">
        <v>4359</v>
      </c>
      <c r="O152" s="3">
        <v>3.1</v>
      </c>
      <c r="P152" s="3" t="s">
        <v>30</v>
      </c>
      <c r="Q152" s="3" t="s">
        <v>43</v>
      </c>
      <c r="R152" s="3" t="s">
        <v>32</v>
      </c>
      <c r="S152" s="3" t="s">
        <v>525</v>
      </c>
      <c r="T152" s="3" t="s">
        <v>526</v>
      </c>
    </row>
    <row r="153" spans="1:20" x14ac:dyDescent="0.3">
      <c r="A153" s="3" t="s">
        <v>527</v>
      </c>
      <c r="B153" s="3" t="s">
        <v>79</v>
      </c>
      <c r="C153" s="3" t="s">
        <v>56</v>
      </c>
      <c r="D153" s="3" t="s">
        <v>57</v>
      </c>
      <c r="E153" s="3" t="s">
        <v>58</v>
      </c>
      <c r="F153" s="3" t="s">
        <v>27</v>
      </c>
      <c r="G153" s="3" t="s">
        <v>81</v>
      </c>
      <c r="H153" s="3" t="s">
        <v>50</v>
      </c>
      <c r="I153" s="3" t="s">
        <v>27</v>
      </c>
      <c r="J153" s="3" t="s">
        <v>41</v>
      </c>
      <c r="K153" s="4">
        <v>43319</v>
      </c>
      <c r="L153" s="3">
        <v>0</v>
      </c>
      <c r="M153" s="3">
        <v>50353</v>
      </c>
      <c r="N153" s="3">
        <v>5220</v>
      </c>
      <c r="O153" s="3">
        <v>4.8</v>
      </c>
      <c r="P153" s="3" t="s">
        <v>30</v>
      </c>
      <c r="Q153" s="3" t="s">
        <v>60</v>
      </c>
      <c r="R153" s="3" t="s">
        <v>64</v>
      </c>
      <c r="S153" s="3" t="s">
        <v>528</v>
      </c>
      <c r="T153" s="3" t="s">
        <v>529</v>
      </c>
    </row>
    <row r="154" spans="1:20" x14ac:dyDescent="0.3">
      <c r="A154" s="3" t="s">
        <v>530</v>
      </c>
      <c r="B154" s="3" t="s">
        <v>21</v>
      </c>
      <c r="C154" s="3" t="s">
        <v>22</v>
      </c>
      <c r="D154" s="3" t="s">
        <v>86</v>
      </c>
      <c r="E154" s="3" t="s">
        <v>58</v>
      </c>
      <c r="F154" s="3" t="s">
        <v>38</v>
      </c>
      <c r="G154" s="3" t="s">
        <v>59</v>
      </c>
      <c r="H154" s="3" t="s">
        <v>97</v>
      </c>
      <c r="I154" s="3" t="s">
        <v>25</v>
      </c>
      <c r="J154" s="3" t="s">
        <v>29</v>
      </c>
      <c r="K154" s="4">
        <v>43218</v>
      </c>
      <c r="L154" s="3">
        <v>6</v>
      </c>
      <c r="M154" s="3">
        <v>61531</v>
      </c>
      <c r="N154" s="3">
        <v>7144</v>
      </c>
      <c r="O154" s="3">
        <v>3.7</v>
      </c>
      <c r="P154" s="3" t="s">
        <v>30</v>
      </c>
      <c r="Q154" s="3" t="s">
        <v>31</v>
      </c>
      <c r="R154" s="3" t="s">
        <v>32</v>
      </c>
      <c r="S154" s="3" t="s">
        <v>531</v>
      </c>
      <c r="T154" s="3" t="s">
        <v>532</v>
      </c>
    </row>
    <row r="155" spans="1:20" x14ac:dyDescent="0.3">
      <c r="A155" s="3" t="s">
        <v>533</v>
      </c>
      <c r="B155" s="3" t="s">
        <v>55</v>
      </c>
      <c r="C155" s="3" t="s">
        <v>102</v>
      </c>
      <c r="D155" s="3" t="s">
        <v>23</v>
      </c>
      <c r="E155" s="3" t="s">
        <v>80</v>
      </c>
      <c r="F155" s="3" t="s">
        <v>27</v>
      </c>
      <c r="G155" s="3" t="s">
        <v>26</v>
      </c>
      <c r="H155" s="3" t="s">
        <v>40</v>
      </c>
      <c r="I155" s="3" t="s">
        <v>28</v>
      </c>
      <c r="J155" s="3" t="s">
        <v>29</v>
      </c>
      <c r="K155" s="4">
        <v>44678</v>
      </c>
      <c r="L155" s="3">
        <v>6</v>
      </c>
      <c r="M155" s="3">
        <v>61779</v>
      </c>
      <c r="N155" s="3">
        <v>11457</v>
      </c>
      <c r="O155" s="3">
        <v>4.4000000000000004</v>
      </c>
      <c r="P155" s="3" t="s">
        <v>42</v>
      </c>
      <c r="Q155" s="3" t="s">
        <v>43</v>
      </c>
      <c r="R155" s="3" t="s">
        <v>51</v>
      </c>
      <c r="S155" s="3" t="s">
        <v>534</v>
      </c>
      <c r="T155" s="3" t="s">
        <v>535</v>
      </c>
    </row>
    <row r="156" spans="1:20" x14ac:dyDescent="0.3">
      <c r="A156" s="3" t="s">
        <v>536</v>
      </c>
      <c r="B156" s="3" t="s">
        <v>75</v>
      </c>
      <c r="C156" s="3" t="s">
        <v>36</v>
      </c>
      <c r="D156" s="3" t="s">
        <v>4</v>
      </c>
      <c r="E156" s="3" t="s">
        <v>80</v>
      </c>
      <c r="F156" s="3" t="s">
        <v>49</v>
      </c>
      <c r="G156" s="3" t="s">
        <v>59</v>
      </c>
      <c r="H156" s="3" t="s">
        <v>71</v>
      </c>
      <c r="I156" s="3" t="s">
        <v>27</v>
      </c>
      <c r="J156" s="3" t="s">
        <v>41</v>
      </c>
      <c r="K156" s="4">
        <v>45044</v>
      </c>
      <c r="L156" s="3">
        <v>11</v>
      </c>
      <c r="M156" s="3">
        <v>55856</v>
      </c>
      <c r="N156" s="3">
        <v>11905</v>
      </c>
      <c r="O156" s="3">
        <v>4.7</v>
      </c>
      <c r="P156" s="3" t="s">
        <v>42</v>
      </c>
      <c r="Q156" s="3" t="s">
        <v>31</v>
      </c>
      <c r="R156" s="3" t="s">
        <v>51</v>
      </c>
      <c r="S156" s="3" t="s">
        <v>537</v>
      </c>
      <c r="T156" s="3" t="s">
        <v>538</v>
      </c>
    </row>
    <row r="157" spans="1:20" x14ac:dyDescent="0.3">
      <c r="A157" s="3" t="s">
        <v>539</v>
      </c>
      <c r="B157" s="3" t="s">
        <v>175</v>
      </c>
      <c r="C157" s="3" t="s">
        <v>36</v>
      </c>
      <c r="D157" s="3" t="s">
        <v>57</v>
      </c>
      <c r="E157" s="3" t="s">
        <v>48</v>
      </c>
      <c r="F157" s="3" t="s">
        <v>25</v>
      </c>
      <c r="G157" s="3" t="s">
        <v>59</v>
      </c>
      <c r="H157" s="3" t="s">
        <v>97</v>
      </c>
      <c r="I157" s="3" t="s">
        <v>27</v>
      </c>
      <c r="J157" s="3" t="s">
        <v>41</v>
      </c>
      <c r="K157" s="4">
        <v>43709</v>
      </c>
      <c r="L157" s="3">
        <v>7</v>
      </c>
      <c r="M157" s="3">
        <v>93947</v>
      </c>
      <c r="N157" s="3">
        <v>4307</v>
      </c>
      <c r="O157" s="3">
        <v>4.0999999999999996</v>
      </c>
      <c r="P157" s="3" t="s">
        <v>30</v>
      </c>
      <c r="Q157" s="3" t="s">
        <v>31</v>
      </c>
      <c r="R157" s="3" t="s">
        <v>51</v>
      </c>
      <c r="S157" s="3" t="s">
        <v>540</v>
      </c>
      <c r="T157" s="3" t="s">
        <v>541</v>
      </c>
    </row>
    <row r="158" spans="1:20" x14ac:dyDescent="0.3">
      <c r="A158" s="3" t="s">
        <v>542</v>
      </c>
      <c r="B158" s="3" t="s">
        <v>90</v>
      </c>
      <c r="C158" s="3" t="s">
        <v>22</v>
      </c>
      <c r="D158" s="3" t="s">
        <v>4</v>
      </c>
      <c r="E158" s="3" t="s">
        <v>24</v>
      </c>
      <c r="F158" s="3" t="s">
        <v>98</v>
      </c>
      <c r="G158" s="3" t="s">
        <v>81</v>
      </c>
      <c r="H158" s="3" t="s">
        <v>40</v>
      </c>
      <c r="I158" s="3" t="s">
        <v>28</v>
      </c>
      <c r="J158" s="3" t="s">
        <v>41</v>
      </c>
      <c r="K158" s="4">
        <v>43172</v>
      </c>
      <c r="L158" s="3">
        <v>13</v>
      </c>
      <c r="M158" s="3">
        <v>83732</v>
      </c>
      <c r="N158" s="3">
        <v>6150</v>
      </c>
      <c r="O158" s="3">
        <v>3.7</v>
      </c>
      <c r="P158" s="3" t="s">
        <v>30</v>
      </c>
      <c r="Q158" s="3" t="s">
        <v>43</v>
      </c>
      <c r="R158" s="3" t="s">
        <v>51</v>
      </c>
      <c r="S158" s="3" t="s">
        <v>543</v>
      </c>
      <c r="T158" s="3" t="s">
        <v>544</v>
      </c>
    </row>
    <row r="159" spans="1:20" x14ac:dyDescent="0.3">
      <c r="A159" s="3" t="s">
        <v>545</v>
      </c>
      <c r="B159" s="3" t="s">
        <v>35</v>
      </c>
      <c r="C159" s="3" t="s">
        <v>56</v>
      </c>
      <c r="D159" s="3" t="s">
        <v>23</v>
      </c>
      <c r="E159" s="3" t="s">
        <v>48</v>
      </c>
      <c r="F159" s="3" t="s">
        <v>28</v>
      </c>
      <c r="G159" s="3" t="s">
        <v>39</v>
      </c>
      <c r="H159" s="3" t="s">
        <v>40</v>
      </c>
      <c r="I159" s="3" t="s">
        <v>38</v>
      </c>
      <c r="J159" s="3" t="s">
        <v>41</v>
      </c>
      <c r="K159" s="4">
        <v>43674</v>
      </c>
      <c r="L159" s="3">
        <v>11</v>
      </c>
      <c r="M159" s="3">
        <v>33388</v>
      </c>
      <c r="N159" s="3">
        <v>14622</v>
      </c>
      <c r="O159" s="3">
        <v>4.3</v>
      </c>
      <c r="P159" s="3" t="s">
        <v>42</v>
      </c>
      <c r="Q159" s="3" t="s">
        <v>43</v>
      </c>
      <c r="R159" s="3" t="s">
        <v>64</v>
      </c>
      <c r="S159" s="3" t="s">
        <v>546</v>
      </c>
      <c r="T159" s="3" t="s">
        <v>547</v>
      </c>
    </row>
    <row r="160" spans="1:20" x14ac:dyDescent="0.3">
      <c r="A160" s="3" t="s">
        <v>548</v>
      </c>
      <c r="B160" s="3" t="s">
        <v>47</v>
      </c>
      <c r="C160" s="3" t="s">
        <v>69</v>
      </c>
      <c r="D160" s="3" t="s">
        <v>23</v>
      </c>
      <c r="E160" s="3" t="s">
        <v>37</v>
      </c>
      <c r="F160" s="3" t="s">
        <v>28</v>
      </c>
      <c r="G160" s="3" t="s">
        <v>39</v>
      </c>
      <c r="H160" s="3" t="s">
        <v>97</v>
      </c>
      <c r="I160" s="3" t="s">
        <v>49</v>
      </c>
      <c r="J160" s="3" t="s">
        <v>41</v>
      </c>
      <c r="K160" s="4">
        <v>45555</v>
      </c>
      <c r="L160" s="3">
        <v>3</v>
      </c>
      <c r="M160" s="3">
        <v>43780</v>
      </c>
      <c r="N160" s="3">
        <v>14469</v>
      </c>
      <c r="O160" s="3">
        <v>5</v>
      </c>
      <c r="P160" s="3" t="s">
        <v>42</v>
      </c>
      <c r="Q160" s="3" t="s">
        <v>31</v>
      </c>
      <c r="R160" s="3" t="s">
        <v>51</v>
      </c>
      <c r="S160" s="3" t="s">
        <v>549</v>
      </c>
      <c r="T160" s="3" t="s">
        <v>550</v>
      </c>
    </row>
    <row r="161" spans="1:20" x14ac:dyDescent="0.3">
      <c r="A161" s="3" t="s">
        <v>551</v>
      </c>
      <c r="B161" s="3" t="s">
        <v>175</v>
      </c>
      <c r="C161" s="3" t="s">
        <v>85</v>
      </c>
      <c r="D161" s="3" t="s">
        <v>70</v>
      </c>
      <c r="E161" s="3" t="s">
        <v>37</v>
      </c>
      <c r="F161" s="3" t="s">
        <v>28</v>
      </c>
      <c r="G161" s="3" t="s">
        <v>81</v>
      </c>
      <c r="H161" s="3" t="s">
        <v>27</v>
      </c>
      <c r="I161" s="3" t="s">
        <v>98</v>
      </c>
      <c r="J161" s="3" t="s">
        <v>41</v>
      </c>
      <c r="K161" s="4">
        <v>43267</v>
      </c>
      <c r="L161" s="3">
        <v>3</v>
      </c>
      <c r="M161" s="3">
        <v>32299</v>
      </c>
      <c r="N161" s="3">
        <v>13874</v>
      </c>
      <c r="O161" s="3">
        <v>3.8</v>
      </c>
      <c r="P161" s="3" t="s">
        <v>42</v>
      </c>
      <c r="Q161" s="3" t="s">
        <v>43</v>
      </c>
      <c r="R161" s="3" t="s">
        <v>51</v>
      </c>
      <c r="S161" s="3" t="s">
        <v>552</v>
      </c>
      <c r="T161" s="3" t="s">
        <v>553</v>
      </c>
    </row>
    <row r="162" spans="1:20" x14ac:dyDescent="0.3">
      <c r="A162" s="3" t="s">
        <v>554</v>
      </c>
      <c r="B162" s="3" t="s">
        <v>125</v>
      </c>
      <c r="C162" s="3" t="s">
        <v>69</v>
      </c>
      <c r="D162" s="3" t="s">
        <v>70</v>
      </c>
      <c r="E162" s="3" t="s">
        <v>48</v>
      </c>
      <c r="F162" s="3" t="s">
        <v>49</v>
      </c>
      <c r="G162" s="3" t="s">
        <v>26</v>
      </c>
      <c r="H162" s="3" t="s">
        <v>27</v>
      </c>
      <c r="I162" s="3" t="s">
        <v>25</v>
      </c>
      <c r="J162" s="3" t="s">
        <v>41</v>
      </c>
      <c r="K162" s="4">
        <v>43228</v>
      </c>
      <c r="L162" s="3">
        <v>13</v>
      </c>
      <c r="M162" s="3">
        <v>71533</v>
      </c>
      <c r="N162" s="3">
        <v>8201</v>
      </c>
      <c r="O162" s="3">
        <v>3.5</v>
      </c>
      <c r="P162" s="3" t="s">
        <v>42</v>
      </c>
      <c r="Q162" s="3" t="s">
        <v>60</v>
      </c>
      <c r="R162" s="3" t="s">
        <v>32</v>
      </c>
      <c r="S162" s="3" t="s">
        <v>555</v>
      </c>
      <c r="T162" s="3" t="s">
        <v>556</v>
      </c>
    </row>
    <row r="163" spans="1:20" x14ac:dyDescent="0.3">
      <c r="A163" s="3" t="s">
        <v>557</v>
      </c>
      <c r="B163" s="3" t="s">
        <v>171</v>
      </c>
      <c r="C163" s="3" t="s">
        <v>102</v>
      </c>
      <c r="D163" s="3" t="s">
        <v>70</v>
      </c>
      <c r="E163" s="3" t="s">
        <v>58</v>
      </c>
      <c r="F163" s="3" t="s">
        <v>25</v>
      </c>
      <c r="G163" s="3" t="s">
        <v>59</v>
      </c>
      <c r="H163" s="3" t="s">
        <v>71</v>
      </c>
      <c r="I163" s="3" t="s">
        <v>27</v>
      </c>
      <c r="J163" s="3" t="s">
        <v>29</v>
      </c>
      <c r="K163" s="4">
        <v>43383</v>
      </c>
      <c r="L163" s="3">
        <v>14</v>
      </c>
      <c r="M163" s="3">
        <v>38273</v>
      </c>
      <c r="N163" s="3">
        <v>8414</v>
      </c>
      <c r="O163" s="3">
        <v>3.2</v>
      </c>
      <c r="P163" s="3" t="s">
        <v>30</v>
      </c>
      <c r="Q163" s="3" t="s">
        <v>43</v>
      </c>
      <c r="R163" s="3" t="s">
        <v>32</v>
      </c>
      <c r="S163" s="3" t="s">
        <v>558</v>
      </c>
      <c r="T163" s="3" t="s">
        <v>559</v>
      </c>
    </row>
    <row r="164" spans="1:20" x14ac:dyDescent="0.3">
      <c r="A164" s="3" t="s">
        <v>560</v>
      </c>
      <c r="B164" s="3" t="s">
        <v>75</v>
      </c>
      <c r="C164" s="3" t="s">
        <v>85</v>
      </c>
      <c r="D164" s="3" t="s">
        <v>23</v>
      </c>
      <c r="E164" s="3" t="s">
        <v>48</v>
      </c>
      <c r="F164" s="3" t="s">
        <v>98</v>
      </c>
      <c r="G164" s="3" t="s">
        <v>39</v>
      </c>
      <c r="H164" s="3" t="s">
        <v>71</v>
      </c>
      <c r="I164" s="3" t="s">
        <v>49</v>
      </c>
      <c r="J164" s="3" t="s">
        <v>41</v>
      </c>
      <c r="K164" s="4">
        <v>45097</v>
      </c>
      <c r="L164" s="3">
        <v>2</v>
      </c>
      <c r="M164" s="3">
        <v>51515</v>
      </c>
      <c r="N164" s="3">
        <v>7151</v>
      </c>
      <c r="O164" s="3">
        <v>4.3</v>
      </c>
      <c r="P164" s="3" t="s">
        <v>42</v>
      </c>
      <c r="Q164" s="3" t="s">
        <v>31</v>
      </c>
      <c r="R164" s="3" t="s">
        <v>32</v>
      </c>
      <c r="S164" s="3" t="s">
        <v>561</v>
      </c>
      <c r="T164" s="3" t="s">
        <v>562</v>
      </c>
    </row>
    <row r="165" spans="1:20" x14ac:dyDescent="0.3">
      <c r="A165" s="3" t="s">
        <v>563</v>
      </c>
      <c r="B165" s="3" t="s">
        <v>203</v>
      </c>
      <c r="C165" s="3" t="s">
        <v>36</v>
      </c>
      <c r="D165" s="3" t="s">
        <v>23</v>
      </c>
      <c r="E165" s="3" t="s">
        <v>80</v>
      </c>
      <c r="F165" s="3" t="s">
        <v>25</v>
      </c>
      <c r="G165" s="3" t="s">
        <v>59</v>
      </c>
      <c r="H165" s="3" t="s">
        <v>27</v>
      </c>
      <c r="I165" s="3" t="s">
        <v>98</v>
      </c>
      <c r="J165" s="3" t="s">
        <v>29</v>
      </c>
      <c r="K165" s="4">
        <v>44121</v>
      </c>
      <c r="L165" s="3">
        <v>4</v>
      </c>
      <c r="M165" s="3">
        <v>84407</v>
      </c>
      <c r="N165" s="3">
        <v>14610</v>
      </c>
      <c r="O165" s="3">
        <v>3.4</v>
      </c>
      <c r="P165" s="3" t="s">
        <v>42</v>
      </c>
      <c r="Q165" s="3" t="s">
        <v>31</v>
      </c>
      <c r="R165" s="3" t="s">
        <v>32</v>
      </c>
      <c r="S165" s="3" t="s">
        <v>564</v>
      </c>
      <c r="T165" s="3" t="s">
        <v>565</v>
      </c>
    </row>
    <row r="166" spans="1:20" x14ac:dyDescent="0.3">
      <c r="A166" s="3" t="s">
        <v>566</v>
      </c>
      <c r="B166" s="3" t="s">
        <v>109</v>
      </c>
      <c r="C166" s="3" t="s">
        <v>22</v>
      </c>
      <c r="D166" s="3" t="s">
        <v>4</v>
      </c>
      <c r="E166" s="3" t="s">
        <v>24</v>
      </c>
      <c r="F166" s="3" t="s">
        <v>98</v>
      </c>
      <c r="G166" s="3" t="s">
        <v>81</v>
      </c>
      <c r="H166" s="3" t="s">
        <v>40</v>
      </c>
      <c r="I166" s="3" t="s">
        <v>98</v>
      </c>
      <c r="J166" s="3" t="s">
        <v>29</v>
      </c>
      <c r="K166" s="4">
        <v>44375</v>
      </c>
      <c r="L166" s="3">
        <v>4</v>
      </c>
      <c r="M166" s="3">
        <v>45506</v>
      </c>
      <c r="N166" s="3">
        <v>8370</v>
      </c>
      <c r="O166" s="3">
        <v>3.1</v>
      </c>
      <c r="P166" s="3" t="s">
        <v>42</v>
      </c>
      <c r="Q166" s="3" t="s">
        <v>43</v>
      </c>
      <c r="R166" s="3" t="s">
        <v>32</v>
      </c>
      <c r="S166" s="3" t="s">
        <v>567</v>
      </c>
      <c r="T166" s="3" t="s">
        <v>568</v>
      </c>
    </row>
    <row r="167" spans="1:20" x14ac:dyDescent="0.3">
      <c r="A167" s="3" t="s">
        <v>569</v>
      </c>
      <c r="B167" s="3" t="s">
        <v>175</v>
      </c>
      <c r="C167" s="3" t="s">
        <v>102</v>
      </c>
      <c r="D167" s="3" t="s">
        <v>86</v>
      </c>
      <c r="E167" s="3" t="s">
        <v>24</v>
      </c>
      <c r="F167" s="3" t="s">
        <v>25</v>
      </c>
      <c r="G167" s="3" t="s">
        <v>59</v>
      </c>
      <c r="H167" s="3" t="s">
        <v>50</v>
      </c>
      <c r="I167" s="3" t="s">
        <v>28</v>
      </c>
      <c r="J167" s="3" t="s">
        <v>41</v>
      </c>
      <c r="K167" s="4">
        <v>44485</v>
      </c>
      <c r="L167" s="3">
        <v>1</v>
      </c>
      <c r="M167" s="3">
        <v>91151</v>
      </c>
      <c r="N167" s="3">
        <v>10539</v>
      </c>
      <c r="O167" s="3">
        <v>3</v>
      </c>
      <c r="P167" s="3" t="s">
        <v>30</v>
      </c>
      <c r="Q167" s="3" t="s">
        <v>31</v>
      </c>
      <c r="R167" s="3" t="s">
        <v>64</v>
      </c>
      <c r="S167" s="3" t="s">
        <v>570</v>
      </c>
      <c r="T167" s="3" t="s">
        <v>571</v>
      </c>
    </row>
    <row r="168" spans="1:20" x14ac:dyDescent="0.3">
      <c r="A168" s="3" t="s">
        <v>572</v>
      </c>
      <c r="B168" s="3" t="s">
        <v>90</v>
      </c>
      <c r="C168" s="3" t="s">
        <v>22</v>
      </c>
      <c r="D168" s="3" t="s">
        <v>86</v>
      </c>
      <c r="E168" s="3" t="s">
        <v>80</v>
      </c>
      <c r="F168" s="3" t="s">
        <v>28</v>
      </c>
      <c r="G168" s="3" t="s">
        <v>26</v>
      </c>
      <c r="H168" s="3" t="s">
        <v>97</v>
      </c>
      <c r="I168" s="3" t="s">
        <v>25</v>
      </c>
      <c r="J168" s="3" t="s">
        <v>41</v>
      </c>
      <c r="K168" s="4">
        <v>43389</v>
      </c>
      <c r="L168" s="3">
        <v>10</v>
      </c>
      <c r="M168" s="3">
        <v>30733</v>
      </c>
      <c r="N168" s="3">
        <v>13731</v>
      </c>
      <c r="O168" s="3">
        <v>4.9000000000000004</v>
      </c>
      <c r="P168" s="3" t="s">
        <v>42</v>
      </c>
      <c r="Q168" s="3" t="s">
        <v>31</v>
      </c>
      <c r="R168" s="3" t="s">
        <v>32</v>
      </c>
      <c r="S168" s="3" t="s">
        <v>573</v>
      </c>
      <c r="T168" s="3" t="s">
        <v>574</v>
      </c>
    </row>
    <row r="169" spans="1:20" x14ac:dyDescent="0.3">
      <c r="A169" s="3" t="s">
        <v>575</v>
      </c>
      <c r="B169" s="3" t="s">
        <v>35</v>
      </c>
      <c r="C169" s="3" t="s">
        <v>36</v>
      </c>
      <c r="D169" s="3" t="s">
        <v>57</v>
      </c>
      <c r="E169" s="3" t="s">
        <v>58</v>
      </c>
      <c r="F169" s="3" t="s">
        <v>27</v>
      </c>
      <c r="G169" s="3" t="s">
        <v>59</v>
      </c>
      <c r="H169" s="3" t="s">
        <v>50</v>
      </c>
      <c r="I169" s="3" t="s">
        <v>28</v>
      </c>
      <c r="J169" s="3" t="s">
        <v>29</v>
      </c>
      <c r="K169" s="4">
        <v>45050</v>
      </c>
      <c r="L169" s="3">
        <v>2</v>
      </c>
      <c r="M169" s="3">
        <v>49100</v>
      </c>
      <c r="N169" s="3">
        <v>7333</v>
      </c>
      <c r="O169" s="3">
        <v>4.2</v>
      </c>
      <c r="P169" s="3" t="s">
        <v>30</v>
      </c>
      <c r="Q169" s="3" t="s">
        <v>60</v>
      </c>
      <c r="R169" s="3" t="s">
        <v>32</v>
      </c>
      <c r="S169" s="3" t="s">
        <v>576</v>
      </c>
      <c r="T169" s="3" t="s">
        <v>577</v>
      </c>
    </row>
    <row r="170" spans="1:20" x14ac:dyDescent="0.3">
      <c r="A170" s="3" t="s">
        <v>578</v>
      </c>
      <c r="B170" s="3" t="s">
        <v>35</v>
      </c>
      <c r="C170" s="3" t="s">
        <v>69</v>
      </c>
      <c r="D170" s="3" t="s">
        <v>86</v>
      </c>
      <c r="E170" s="3" t="s">
        <v>58</v>
      </c>
      <c r="F170" s="3" t="s">
        <v>38</v>
      </c>
      <c r="G170" s="3" t="s">
        <v>39</v>
      </c>
      <c r="H170" s="3" t="s">
        <v>71</v>
      </c>
      <c r="I170" s="3" t="s">
        <v>28</v>
      </c>
      <c r="J170" s="3" t="s">
        <v>41</v>
      </c>
      <c r="K170" s="4">
        <v>43742</v>
      </c>
      <c r="L170" s="3">
        <v>11</v>
      </c>
      <c r="M170" s="3">
        <v>77253</v>
      </c>
      <c r="N170" s="3">
        <v>2496</v>
      </c>
      <c r="O170" s="3">
        <v>3.5</v>
      </c>
      <c r="P170" s="3" t="s">
        <v>42</v>
      </c>
      <c r="Q170" s="3" t="s">
        <v>43</v>
      </c>
      <c r="R170" s="3" t="s">
        <v>64</v>
      </c>
      <c r="S170" s="3" t="s">
        <v>579</v>
      </c>
      <c r="T170" s="3" t="s">
        <v>580</v>
      </c>
    </row>
    <row r="171" spans="1:20" x14ac:dyDescent="0.3">
      <c r="A171" s="3" t="s">
        <v>581</v>
      </c>
      <c r="B171" s="3" t="s">
        <v>79</v>
      </c>
      <c r="C171" s="3" t="s">
        <v>56</v>
      </c>
      <c r="D171" s="3" t="s">
        <v>4</v>
      </c>
      <c r="E171" s="3" t="s">
        <v>58</v>
      </c>
      <c r="F171" s="3" t="s">
        <v>38</v>
      </c>
      <c r="G171" s="3" t="s">
        <v>81</v>
      </c>
      <c r="H171" s="3" t="s">
        <v>50</v>
      </c>
      <c r="I171" s="3" t="s">
        <v>25</v>
      </c>
      <c r="J171" s="3" t="s">
        <v>41</v>
      </c>
      <c r="K171" s="4">
        <v>44055</v>
      </c>
      <c r="L171" s="3">
        <v>7</v>
      </c>
      <c r="M171" s="3">
        <v>80235</v>
      </c>
      <c r="N171" s="3">
        <v>6886</v>
      </c>
      <c r="O171" s="3">
        <v>3.9</v>
      </c>
      <c r="P171" s="3" t="s">
        <v>30</v>
      </c>
      <c r="Q171" s="3" t="s">
        <v>31</v>
      </c>
      <c r="R171" s="3" t="s">
        <v>64</v>
      </c>
      <c r="S171" s="3" t="s">
        <v>582</v>
      </c>
      <c r="T171" s="3" t="s">
        <v>583</v>
      </c>
    </row>
    <row r="172" spans="1:20" x14ac:dyDescent="0.3">
      <c r="A172" s="3" t="s">
        <v>584</v>
      </c>
      <c r="B172" s="3" t="s">
        <v>125</v>
      </c>
      <c r="C172" s="3" t="s">
        <v>56</v>
      </c>
      <c r="D172" s="3" t="s">
        <v>23</v>
      </c>
      <c r="E172" s="3" t="s">
        <v>58</v>
      </c>
      <c r="F172" s="3" t="s">
        <v>49</v>
      </c>
      <c r="G172" s="3" t="s">
        <v>26</v>
      </c>
      <c r="H172" s="3" t="s">
        <v>50</v>
      </c>
      <c r="I172" s="3" t="s">
        <v>25</v>
      </c>
      <c r="J172" s="3" t="s">
        <v>41</v>
      </c>
      <c r="K172" s="4">
        <v>45372</v>
      </c>
      <c r="L172" s="3">
        <v>5</v>
      </c>
      <c r="M172" s="3">
        <v>65816</v>
      </c>
      <c r="N172" s="3">
        <v>9396</v>
      </c>
      <c r="O172" s="3">
        <v>3.3</v>
      </c>
      <c r="P172" s="3" t="s">
        <v>42</v>
      </c>
      <c r="Q172" s="3" t="s">
        <v>31</v>
      </c>
      <c r="R172" s="3" t="s">
        <v>51</v>
      </c>
      <c r="S172" s="3" t="s">
        <v>585</v>
      </c>
      <c r="T172" s="3" t="s">
        <v>586</v>
      </c>
    </row>
    <row r="173" spans="1:20" x14ac:dyDescent="0.3">
      <c r="A173" s="3" t="s">
        <v>587</v>
      </c>
      <c r="B173" s="3" t="s">
        <v>90</v>
      </c>
      <c r="C173" s="3" t="s">
        <v>36</v>
      </c>
      <c r="D173" s="3" t="s">
        <v>70</v>
      </c>
      <c r="E173" s="3" t="s">
        <v>58</v>
      </c>
      <c r="F173" s="3" t="s">
        <v>38</v>
      </c>
      <c r="G173" s="3" t="s">
        <v>26</v>
      </c>
      <c r="H173" s="3" t="s">
        <v>40</v>
      </c>
      <c r="I173" s="3" t="s">
        <v>27</v>
      </c>
      <c r="J173" s="3" t="s">
        <v>41</v>
      </c>
      <c r="K173" s="4">
        <v>45345</v>
      </c>
      <c r="L173" s="3">
        <v>2</v>
      </c>
      <c r="M173" s="3">
        <v>65912</v>
      </c>
      <c r="N173" s="3">
        <v>8659</v>
      </c>
      <c r="O173" s="3">
        <v>3.6</v>
      </c>
      <c r="P173" s="3" t="s">
        <v>42</v>
      </c>
      <c r="Q173" s="3" t="s">
        <v>43</v>
      </c>
      <c r="R173" s="3" t="s">
        <v>51</v>
      </c>
      <c r="S173" s="3" t="s">
        <v>588</v>
      </c>
      <c r="T173" s="3" t="s">
        <v>589</v>
      </c>
    </row>
    <row r="174" spans="1:20" x14ac:dyDescent="0.3">
      <c r="A174" s="3" t="s">
        <v>590</v>
      </c>
      <c r="B174" s="3" t="s">
        <v>175</v>
      </c>
      <c r="C174" s="3" t="s">
        <v>85</v>
      </c>
      <c r="D174" s="3" t="s">
        <v>23</v>
      </c>
      <c r="E174" s="3" t="s">
        <v>37</v>
      </c>
      <c r="F174" s="3" t="s">
        <v>27</v>
      </c>
      <c r="G174" s="3" t="s">
        <v>59</v>
      </c>
      <c r="H174" s="3" t="s">
        <v>97</v>
      </c>
      <c r="I174" s="3" t="s">
        <v>49</v>
      </c>
      <c r="J174" s="3" t="s">
        <v>29</v>
      </c>
      <c r="K174" s="4">
        <v>44061</v>
      </c>
      <c r="L174" s="3">
        <v>9</v>
      </c>
      <c r="M174" s="3">
        <v>67739</v>
      </c>
      <c r="N174" s="3">
        <v>7246</v>
      </c>
      <c r="O174" s="3">
        <v>3.4</v>
      </c>
      <c r="P174" s="3" t="s">
        <v>30</v>
      </c>
      <c r="Q174" s="3" t="s">
        <v>31</v>
      </c>
      <c r="R174" s="3" t="s">
        <v>64</v>
      </c>
      <c r="S174" s="3" t="s">
        <v>591</v>
      </c>
      <c r="T174" s="3" t="s">
        <v>592</v>
      </c>
    </row>
    <row r="175" spans="1:20" x14ac:dyDescent="0.3">
      <c r="A175" s="3" t="s">
        <v>593</v>
      </c>
      <c r="B175" s="3" t="s">
        <v>203</v>
      </c>
      <c r="C175" s="3" t="s">
        <v>102</v>
      </c>
      <c r="D175" s="3" t="s">
        <v>23</v>
      </c>
      <c r="E175" s="3" t="s">
        <v>24</v>
      </c>
      <c r="F175" s="3" t="s">
        <v>38</v>
      </c>
      <c r="G175" s="3" t="s">
        <v>26</v>
      </c>
      <c r="H175" s="3" t="s">
        <v>27</v>
      </c>
      <c r="I175" s="3" t="s">
        <v>28</v>
      </c>
      <c r="J175" s="3" t="s">
        <v>41</v>
      </c>
      <c r="K175" s="4">
        <v>43658</v>
      </c>
      <c r="L175" s="3">
        <v>2</v>
      </c>
      <c r="M175" s="3">
        <v>65976</v>
      </c>
      <c r="N175" s="3">
        <v>9123</v>
      </c>
      <c r="O175" s="3">
        <v>4.3</v>
      </c>
      <c r="P175" s="3" t="s">
        <v>30</v>
      </c>
      <c r="Q175" s="3" t="s">
        <v>60</v>
      </c>
      <c r="R175" s="3" t="s">
        <v>64</v>
      </c>
      <c r="S175" s="3" t="s">
        <v>594</v>
      </c>
      <c r="T175" s="3" t="s">
        <v>595</v>
      </c>
    </row>
    <row r="176" spans="1:20" x14ac:dyDescent="0.3">
      <c r="A176" s="3" t="s">
        <v>596</v>
      </c>
      <c r="B176" s="3" t="s">
        <v>90</v>
      </c>
      <c r="C176" s="3" t="s">
        <v>22</v>
      </c>
      <c r="D176" s="3" t="s">
        <v>4</v>
      </c>
      <c r="E176" s="3" t="s">
        <v>48</v>
      </c>
      <c r="F176" s="3" t="s">
        <v>49</v>
      </c>
      <c r="G176" s="3" t="s">
        <v>39</v>
      </c>
      <c r="H176" s="3" t="s">
        <v>97</v>
      </c>
      <c r="I176" s="3" t="s">
        <v>28</v>
      </c>
      <c r="J176" s="3" t="s">
        <v>41</v>
      </c>
      <c r="K176" s="4">
        <v>43795</v>
      </c>
      <c r="L176" s="3">
        <v>10</v>
      </c>
      <c r="M176" s="3">
        <v>31328</v>
      </c>
      <c r="N176" s="3">
        <v>10712</v>
      </c>
      <c r="O176" s="3">
        <v>4.7</v>
      </c>
      <c r="P176" s="3" t="s">
        <v>42</v>
      </c>
      <c r="Q176" s="3" t="s">
        <v>43</v>
      </c>
      <c r="R176" s="3" t="s">
        <v>32</v>
      </c>
      <c r="S176" s="3" t="s">
        <v>597</v>
      </c>
      <c r="T176" s="3" t="s">
        <v>598</v>
      </c>
    </row>
    <row r="177" spans="1:20" x14ac:dyDescent="0.3">
      <c r="A177" s="3" t="s">
        <v>599</v>
      </c>
      <c r="B177" s="3" t="s">
        <v>203</v>
      </c>
      <c r="C177" s="3" t="s">
        <v>102</v>
      </c>
      <c r="D177" s="3" t="s">
        <v>70</v>
      </c>
      <c r="E177" s="3" t="s">
        <v>58</v>
      </c>
      <c r="F177" s="3" t="s">
        <v>28</v>
      </c>
      <c r="G177" s="3" t="s">
        <v>26</v>
      </c>
      <c r="H177" s="3" t="s">
        <v>40</v>
      </c>
      <c r="I177" s="3" t="s">
        <v>27</v>
      </c>
      <c r="J177" s="3" t="s">
        <v>29</v>
      </c>
      <c r="K177" s="4">
        <v>43505</v>
      </c>
      <c r="L177" s="3">
        <v>9</v>
      </c>
      <c r="M177" s="3">
        <v>52482</v>
      </c>
      <c r="N177" s="3">
        <v>8106</v>
      </c>
      <c r="O177" s="3">
        <v>4.2</v>
      </c>
      <c r="P177" s="3" t="s">
        <v>30</v>
      </c>
      <c r="Q177" s="3" t="s">
        <v>60</v>
      </c>
      <c r="R177" s="3" t="s">
        <v>32</v>
      </c>
      <c r="S177" s="3" t="s">
        <v>600</v>
      </c>
      <c r="T177" s="3" t="s">
        <v>601</v>
      </c>
    </row>
    <row r="178" spans="1:20" x14ac:dyDescent="0.3">
      <c r="A178" s="3" t="s">
        <v>602</v>
      </c>
      <c r="B178" s="3" t="s">
        <v>35</v>
      </c>
      <c r="C178" s="3" t="s">
        <v>56</v>
      </c>
      <c r="D178" s="3" t="s">
        <v>23</v>
      </c>
      <c r="E178" s="3" t="s">
        <v>37</v>
      </c>
      <c r="F178" s="3" t="s">
        <v>49</v>
      </c>
      <c r="G178" s="3" t="s">
        <v>26</v>
      </c>
      <c r="H178" s="3" t="s">
        <v>97</v>
      </c>
      <c r="I178" s="3" t="s">
        <v>98</v>
      </c>
      <c r="J178" s="3" t="s">
        <v>29</v>
      </c>
      <c r="K178" s="4">
        <v>44132</v>
      </c>
      <c r="L178" s="3">
        <v>11</v>
      </c>
      <c r="M178" s="3">
        <v>76814</v>
      </c>
      <c r="N178" s="3">
        <v>9346</v>
      </c>
      <c r="O178" s="3">
        <v>5</v>
      </c>
      <c r="P178" s="3" t="s">
        <v>42</v>
      </c>
      <c r="Q178" s="3" t="s">
        <v>31</v>
      </c>
      <c r="R178" s="3" t="s">
        <v>64</v>
      </c>
      <c r="S178" s="3" t="s">
        <v>603</v>
      </c>
      <c r="T178" s="3" t="s">
        <v>604</v>
      </c>
    </row>
    <row r="179" spans="1:20" x14ac:dyDescent="0.3">
      <c r="A179" s="3" t="s">
        <v>605</v>
      </c>
      <c r="B179" s="3" t="s">
        <v>47</v>
      </c>
      <c r="C179" s="3" t="s">
        <v>36</v>
      </c>
      <c r="D179" s="3" t="s">
        <v>23</v>
      </c>
      <c r="E179" s="3" t="s">
        <v>48</v>
      </c>
      <c r="F179" s="3" t="s">
        <v>49</v>
      </c>
      <c r="G179" s="3" t="s">
        <v>26</v>
      </c>
      <c r="H179" s="3" t="s">
        <v>50</v>
      </c>
      <c r="I179" s="3" t="s">
        <v>25</v>
      </c>
      <c r="J179" s="3" t="s">
        <v>41</v>
      </c>
      <c r="K179" s="4">
        <v>44005</v>
      </c>
      <c r="L179" s="3">
        <v>15</v>
      </c>
      <c r="M179" s="3">
        <v>76870</v>
      </c>
      <c r="N179" s="3">
        <v>14013</v>
      </c>
      <c r="O179" s="3">
        <v>3.4</v>
      </c>
      <c r="P179" s="3" t="s">
        <v>30</v>
      </c>
      <c r="Q179" s="3" t="s">
        <v>43</v>
      </c>
      <c r="R179" s="3" t="s">
        <v>64</v>
      </c>
      <c r="S179" s="3" t="s">
        <v>606</v>
      </c>
      <c r="T179" s="3" t="s">
        <v>607</v>
      </c>
    </row>
    <row r="180" spans="1:20" x14ac:dyDescent="0.3">
      <c r="A180" s="3" t="s">
        <v>608</v>
      </c>
      <c r="B180" s="3" t="s">
        <v>125</v>
      </c>
      <c r="C180" s="3" t="s">
        <v>69</v>
      </c>
      <c r="D180" s="3" t="s">
        <v>4</v>
      </c>
      <c r="E180" s="3" t="s">
        <v>80</v>
      </c>
      <c r="F180" s="3" t="s">
        <v>38</v>
      </c>
      <c r="G180" s="3" t="s">
        <v>59</v>
      </c>
      <c r="H180" s="3" t="s">
        <v>97</v>
      </c>
      <c r="I180" s="3" t="s">
        <v>98</v>
      </c>
      <c r="J180" s="3" t="s">
        <v>41</v>
      </c>
      <c r="K180" s="4">
        <v>44860</v>
      </c>
      <c r="L180" s="3">
        <v>1</v>
      </c>
      <c r="M180" s="3">
        <v>70024</v>
      </c>
      <c r="N180" s="3">
        <v>2829</v>
      </c>
      <c r="O180" s="3">
        <v>4.3</v>
      </c>
      <c r="P180" s="3" t="s">
        <v>42</v>
      </c>
      <c r="Q180" s="3" t="s">
        <v>43</v>
      </c>
      <c r="R180" s="3" t="s">
        <v>32</v>
      </c>
      <c r="S180" s="3" t="s">
        <v>609</v>
      </c>
      <c r="T180" s="3" t="s">
        <v>610</v>
      </c>
    </row>
    <row r="181" spans="1:20" x14ac:dyDescent="0.3">
      <c r="A181" s="3" t="s">
        <v>611</v>
      </c>
      <c r="B181" s="3" t="s">
        <v>68</v>
      </c>
      <c r="C181" s="3" t="s">
        <v>22</v>
      </c>
      <c r="D181" s="3" t="s">
        <v>70</v>
      </c>
      <c r="E181" s="3" t="s">
        <v>37</v>
      </c>
      <c r="F181" s="3" t="s">
        <v>38</v>
      </c>
      <c r="G181" s="3" t="s">
        <v>26</v>
      </c>
      <c r="H181" s="3" t="s">
        <v>71</v>
      </c>
      <c r="I181" s="3" t="s">
        <v>38</v>
      </c>
      <c r="J181" s="3" t="s">
        <v>41</v>
      </c>
      <c r="K181" s="4">
        <v>44442</v>
      </c>
      <c r="L181" s="3">
        <v>3</v>
      </c>
      <c r="M181" s="3">
        <v>78089</v>
      </c>
      <c r="N181" s="3">
        <v>14027</v>
      </c>
      <c r="O181" s="3">
        <v>3.5</v>
      </c>
      <c r="P181" s="3" t="s">
        <v>42</v>
      </c>
      <c r="Q181" s="3" t="s">
        <v>31</v>
      </c>
      <c r="R181" s="3" t="s">
        <v>64</v>
      </c>
      <c r="S181" s="3" t="s">
        <v>612</v>
      </c>
      <c r="T181" s="3" t="s">
        <v>613</v>
      </c>
    </row>
    <row r="182" spans="1:20" x14ac:dyDescent="0.3">
      <c r="A182" s="3" t="s">
        <v>614</v>
      </c>
      <c r="B182" s="3" t="s">
        <v>47</v>
      </c>
      <c r="C182" s="3" t="s">
        <v>22</v>
      </c>
      <c r="D182" s="3" t="s">
        <v>23</v>
      </c>
      <c r="E182" s="3" t="s">
        <v>80</v>
      </c>
      <c r="F182" s="3" t="s">
        <v>27</v>
      </c>
      <c r="G182" s="3" t="s">
        <v>59</v>
      </c>
      <c r="H182" s="3" t="s">
        <v>50</v>
      </c>
      <c r="I182" s="3" t="s">
        <v>49</v>
      </c>
      <c r="J182" s="3" t="s">
        <v>29</v>
      </c>
      <c r="K182" s="4">
        <v>44956</v>
      </c>
      <c r="L182" s="3">
        <v>7</v>
      </c>
      <c r="M182" s="3">
        <v>36576</v>
      </c>
      <c r="N182" s="3">
        <v>10249</v>
      </c>
      <c r="O182" s="3">
        <v>4.2</v>
      </c>
      <c r="P182" s="3" t="s">
        <v>30</v>
      </c>
      <c r="Q182" s="3" t="s">
        <v>31</v>
      </c>
      <c r="R182" s="3" t="s">
        <v>51</v>
      </c>
      <c r="S182" s="3" t="s">
        <v>615</v>
      </c>
      <c r="T182" s="3" t="s">
        <v>616</v>
      </c>
    </row>
    <row r="183" spans="1:20" x14ac:dyDescent="0.3">
      <c r="A183" s="3" t="s">
        <v>617</v>
      </c>
      <c r="B183" s="3" t="s">
        <v>68</v>
      </c>
      <c r="C183" s="3" t="s">
        <v>36</v>
      </c>
      <c r="D183" s="3" t="s">
        <v>23</v>
      </c>
      <c r="E183" s="3" t="s">
        <v>37</v>
      </c>
      <c r="F183" s="3" t="s">
        <v>98</v>
      </c>
      <c r="G183" s="3" t="s">
        <v>39</v>
      </c>
      <c r="H183" s="3" t="s">
        <v>71</v>
      </c>
      <c r="I183" s="3" t="s">
        <v>98</v>
      </c>
      <c r="J183" s="3" t="s">
        <v>41</v>
      </c>
      <c r="K183" s="4">
        <v>45276</v>
      </c>
      <c r="L183" s="3">
        <v>15</v>
      </c>
      <c r="M183" s="3">
        <v>87525</v>
      </c>
      <c r="N183" s="3">
        <v>7960</v>
      </c>
      <c r="O183" s="3">
        <v>3.9</v>
      </c>
      <c r="P183" s="3" t="s">
        <v>42</v>
      </c>
      <c r="Q183" s="3" t="s">
        <v>31</v>
      </c>
      <c r="R183" s="3" t="s">
        <v>64</v>
      </c>
      <c r="S183" s="3" t="s">
        <v>618</v>
      </c>
      <c r="T183" s="3" t="s">
        <v>619</v>
      </c>
    </row>
    <row r="184" spans="1:20" x14ac:dyDescent="0.3">
      <c r="A184" s="3" t="s">
        <v>620</v>
      </c>
      <c r="B184" s="3" t="s">
        <v>68</v>
      </c>
      <c r="C184" s="3" t="s">
        <v>102</v>
      </c>
      <c r="D184" s="3" t="s">
        <v>57</v>
      </c>
      <c r="E184" s="3" t="s">
        <v>48</v>
      </c>
      <c r="F184" s="3" t="s">
        <v>98</v>
      </c>
      <c r="G184" s="3" t="s">
        <v>39</v>
      </c>
      <c r="H184" s="3" t="s">
        <v>71</v>
      </c>
      <c r="I184" s="3" t="s">
        <v>98</v>
      </c>
      <c r="J184" s="3" t="s">
        <v>41</v>
      </c>
      <c r="K184" s="4">
        <v>43353</v>
      </c>
      <c r="L184" s="3">
        <v>12</v>
      </c>
      <c r="M184" s="3">
        <v>90501</v>
      </c>
      <c r="N184" s="3">
        <v>2529</v>
      </c>
      <c r="O184" s="3">
        <v>3.5</v>
      </c>
      <c r="P184" s="3" t="s">
        <v>30</v>
      </c>
      <c r="Q184" s="3" t="s">
        <v>43</v>
      </c>
      <c r="R184" s="3" t="s">
        <v>32</v>
      </c>
      <c r="S184" s="3" t="s">
        <v>621</v>
      </c>
      <c r="T184" s="3" t="s">
        <v>622</v>
      </c>
    </row>
    <row r="185" spans="1:20" x14ac:dyDescent="0.3">
      <c r="A185" s="3" t="s">
        <v>623</v>
      </c>
      <c r="B185" s="3" t="s">
        <v>75</v>
      </c>
      <c r="C185" s="3" t="s">
        <v>56</v>
      </c>
      <c r="D185" s="3" t="s">
        <v>4</v>
      </c>
      <c r="E185" s="3" t="s">
        <v>80</v>
      </c>
      <c r="F185" s="3" t="s">
        <v>25</v>
      </c>
      <c r="G185" s="3" t="s">
        <v>59</v>
      </c>
      <c r="H185" s="3" t="s">
        <v>50</v>
      </c>
      <c r="I185" s="3" t="s">
        <v>38</v>
      </c>
      <c r="J185" s="3" t="s">
        <v>29</v>
      </c>
      <c r="K185" s="4">
        <v>43301</v>
      </c>
      <c r="L185" s="3">
        <v>9</v>
      </c>
      <c r="M185" s="3">
        <v>29487</v>
      </c>
      <c r="N185" s="3">
        <v>12302</v>
      </c>
      <c r="O185" s="3">
        <v>3.8</v>
      </c>
      <c r="P185" s="3" t="s">
        <v>30</v>
      </c>
      <c r="Q185" s="3" t="s">
        <v>31</v>
      </c>
      <c r="R185" s="3" t="s">
        <v>51</v>
      </c>
      <c r="S185" s="3" t="s">
        <v>624</v>
      </c>
      <c r="T185" s="3" t="s">
        <v>625</v>
      </c>
    </row>
    <row r="186" spans="1:20" x14ac:dyDescent="0.3">
      <c r="A186" s="3" t="s">
        <v>626</v>
      </c>
      <c r="B186" s="3" t="s">
        <v>35</v>
      </c>
      <c r="C186" s="3" t="s">
        <v>22</v>
      </c>
      <c r="D186" s="3" t="s">
        <v>86</v>
      </c>
      <c r="E186" s="3" t="s">
        <v>48</v>
      </c>
      <c r="F186" s="3" t="s">
        <v>27</v>
      </c>
      <c r="G186" s="3" t="s">
        <v>39</v>
      </c>
      <c r="H186" s="3" t="s">
        <v>40</v>
      </c>
      <c r="I186" s="3" t="s">
        <v>28</v>
      </c>
      <c r="J186" s="3" t="s">
        <v>29</v>
      </c>
      <c r="K186" s="4">
        <v>43726</v>
      </c>
      <c r="L186" s="3">
        <v>8</v>
      </c>
      <c r="M186" s="3">
        <v>68879</v>
      </c>
      <c r="N186" s="3">
        <v>12318</v>
      </c>
      <c r="O186" s="3">
        <v>3.1</v>
      </c>
      <c r="P186" s="3" t="s">
        <v>42</v>
      </c>
      <c r="Q186" s="3" t="s">
        <v>31</v>
      </c>
      <c r="R186" s="3" t="s">
        <v>64</v>
      </c>
      <c r="S186" s="3" t="s">
        <v>627</v>
      </c>
      <c r="T186" s="3" t="s">
        <v>628</v>
      </c>
    </row>
    <row r="187" spans="1:20" x14ac:dyDescent="0.3">
      <c r="A187" s="3" t="s">
        <v>629</v>
      </c>
      <c r="B187" s="3" t="s">
        <v>109</v>
      </c>
      <c r="C187" s="3" t="s">
        <v>22</v>
      </c>
      <c r="D187" s="3" t="s">
        <v>86</v>
      </c>
      <c r="E187" s="3" t="s">
        <v>48</v>
      </c>
      <c r="F187" s="3" t="s">
        <v>38</v>
      </c>
      <c r="G187" s="3" t="s">
        <v>39</v>
      </c>
      <c r="H187" s="3" t="s">
        <v>50</v>
      </c>
      <c r="I187" s="3" t="s">
        <v>98</v>
      </c>
      <c r="J187" s="3" t="s">
        <v>41</v>
      </c>
      <c r="K187" s="4">
        <v>44477</v>
      </c>
      <c r="L187" s="3">
        <v>11</v>
      </c>
      <c r="M187" s="3">
        <v>35583</v>
      </c>
      <c r="N187" s="3">
        <v>10438</v>
      </c>
      <c r="O187" s="3">
        <v>3.3</v>
      </c>
      <c r="P187" s="3" t="s">
        <v>30</v>
      </c>
      <c r="Q187" s="3" t="s">
        <v>60</v>
      </c>
      <c r="R187" s="3" t="s">
        <v>32</v>
      </c>
      <c r="S187" s="3" t="s">
        <v>630</v>
      </c>
      <c r="T187" s="3" t="s">
        <v>631</v>
      </c>
    </row>
    <row r="188" spans="1:20" x14ac:dyDescent="0.3">
      <c r="A188" s="3" t="s">
        <v>632</v>
      </c>
      <c r="B188" s="3" t="s">
        <v>129</v>
      </c>
      <c r="C188" s="3" t="s">
        <v>22</v>
      </c>
      <c r="D188" s="3" t="s">
        <v>23</v>
      </c>
      <c r="E188" s="3" t="s">
        <v>24</v>
      </c>
      <c r="F188" s="3" t="s">
        <v>49</v>
      </c>
      <c r="G188" s="3" t="s">
        <v>81</v>
      </c>
      <c r="H188" s="3" t="s">
        <v>40</v>
      </c>
      <c r="I188" s="3" t="s">
        <v>49</v>
      </c>
      <c r="J188" s="3" t="s">
        <v>29</v>
      </c>
      <c r="K188" s="4">
        <v>44364</v>
      </c>
      <c r="L188" s="3">
        <v>10</v>
      </c>
      <c r="M188" s="3">
        <v>57920</v>
      </c>
      <c r="N188" s="3">
        <v>12176</v>
      </c>
      <c r="O188" s="3">
        <v>3</v>
      </c>
      <c r="P188" s="3" t="s">
        <v>30</v>
      </c>
      <c r="Q188" s="3" t="s">
        <v>60</v>
      </c>
      <c r="R188" s="3" t="s">
        <v>51</v>
      </c>
      <c r="S188" s="3" t="s">
        <v>633</v>
      </c>
      <c r="T188" s="3" t="s">
        <v>634</v>
      </c>
    </row>
    <row r="189" spans="1:20" x14ac:dyDescent="0.3">
      <c r="A189" s="3" t="s">
        <v>635</v>
      </c>
      <c r="B189" s="3" t="s">
        <v>109</v>
      </c>
      <c r="C189" s="3" t="s">
        <v>22</v>
      </c>
      <c r="D189" s="3" t="s">
        <v>86</v>
      </c>
      <c r="E189" s="3" t="s">
        <v>24</v>
      </c>
      <c r="F189" s="3" t="s">
        <v>28</v>
      </c>
      <c r="G189" s="3" t="s">
        <v>59</v>
      </c>
      <c r="H189" s="3" t="s">
        <v>50</v>
      </c>
      <c r="I189" s="3" t="s">
        <v>25</v>
      </c>
      <c r="J189" s="3" t="s">
        <v>41</v>
      </c>
      <c r="K189" s="4">
        <v>45518</v>
      </c>
      <c r="L189" s="3">
        <v>9</v>
      </c>
      <c r="M189" s="3">
        <v>79668</v>
      </c>
      <c r="N189" s="3">
        <v>7972</v>
      </c>
      <c r="O189" s="3">
        <v>3.5</v>
      </c>
      <c r="P189" s="3" t="s">
        <v>42</v>
      </c>
      <c r="Q189" s="3" t="s">
        <v>31</v>
      </c>
      <c r="R189" s="3" t="s">
        <v>64</v>
      </c>
      <c r="S189" s="3" t="s">
        <v>636</v>
      </c>
      <c r="T189" s="3" t="s">
        <v>637</v>
      </c>
    </row>
    <row r="190" spans="1:20" x14ac:dyDescent="0.3">
      <c r="A190" s="3" t="s">
        <v>638</v>
      </c>
      <c r="B190" s="3" t="s">
        <v>109</v>
      </c>
      <c r="C190" s="3" t="s">
        <v>69</v>
      </c>
      <c r="D190" s="3" t="s">
        <v>57</v>
      </c>
      <c r="E190" s="3" t="s">
        <v>80</v>
      </c>
      <c r="F190" s="3" t="s">
        <v>98</v>
      </c>
      <c r="G190" s="3" t="s">
        <v>39</v>
      </c>
      <c r="H190" s="3" t="s">
        <v>97</v>
      </c>
      <c r="I190" s="3" t="s">
        <v>98</v>
      </c>
      <c r="J190" s="3" t="s">
        <v>41</v>
      </c>
      <c r="K190" s="4">
        <v>44343</v>
      </c>
      <c r="L190" s="3">
        <v>2</v>
      </c>
      <c r="M190" s="3">
        <v>82952</v>
      </c>
      <c r="N190" s="3">
        <v>14533</v>
      </c>
      <c r="O190" s="3">
        <v>4.5</v>
      </c>
      <c r="P190" s="3" t="s">
        <v>42</v>
      </c>
      <c r="Q190" s="3" t="s">
        <v>31</v>
      </c>
      <c r="R190" s="3" t="s">
        <v>32</v>
      </c>
      <c r="S190" s="3" t="s">
        <v>639</v>
      </c>
      <c r="T190" s="3" t="s">
        <v>640</v>
      </c>
    </row>
    <row r="191" spans="1:20" x14ac:dyDescent="0.3">
      <c r="A191" s="3" t="s">
        <v>641</v>
      </c>
      <c r="B191" s="3" t="s">
        <v>171</v>
      </c>
      <c r="C191" s="3" t="s">
        <v>22</v>
      </c>
      <c r="D191" s="3" t="s">
        <v>57</v>
      </c>
      <c r="E191" s="3" t="s">
        <v>24</v>
      </c>
      <c r="F191" s="3" t="s">
        <v>27</v>
      </c>
      <c r="G191" s="3" t="s">
        <v>39</v>
      </c>
      <c r="H191" s="3" t="s">
        <v>27</v>
      </c>
      <c r="I191" s="3" t="s">
        <v>49</v>
      </c>
      <c r="J191" s="3" t="s">
        <v>29</v>
      </c>
      <c r="K191" s="4">
        <v>43866</v>
      </c>
      <c r="L191" s="3">
        <v>7</v>
      </c>
      <c r="M191" s="3">
        <v>34778</v>
      </c>
      <c r="N191" s="3">
        <v>13202</v>
      </c>
      <c r="O191" s="3">
        <v>5</v>
      </c>
      <c r="P191" s="3" t="s">
        <v>42</v>
      </c>
      <c r="Q191" s="3" t="s">
        <v>60</v>
      </c>
      <c r="R191" s="3" t="s">
        <v>32</v>
      </c>
      <c r="S191" s="3" t="s">
        <v>642</v>
      </c>
      <c r="T191" s="3" t="s">
        <v>643</v>
      </c>
    </row>
    <row r="192" spans="1:20" x14ac:dyDescent="0.3">
      <c r="A192" s="3" t="s">
        <v>644</v>
      </c>
      <c r="B192" s="3" t="s">
        <v>125</v>
      </c>
      <c r="C192" s="3" t="s">
        <v>56</v>
      </c>
      <c r="D192" s="3" t="s">
        <v>23</v>
      </c>
      <c r="E192" s="3" t="s">
        <v>80</v>
      </c>
      <c r="F192" s="3" t="s">
        <v>27</v>
      </c>
      <c r="G192" s="3" t="s">
        <v>39</v>
      </c>
      <c r="H192" s="3" t="s">
        <v>40</v>
      </c>
      <c r="I192" s="3" t="s">
        <v>98</v>
      </c>
      <c r="J192" s="3" t="s">
        <v>29</v>
      </c>
      <c r="K192" s="4">
        <v>44557</v>
      </c>
      <c r="L192" s="3">
        <v>8</v>
      </c>
      <c r="M192" s="3">
        <v>92499</v>
      </c>
      <c r="N192" s="3">
        <v>13419</v>
      </c>
      <c r="O192" s="3">
        <v>3.1</v>
      </c>
      <c r="P192" s="3" t="s">
        <v>42</v>
      </c>
      <c r="Q192" s="3" t="s">
        <v>31</v>
      </c>
      <c r="R192" s="3" t="s">
        <v>32</v>
      </c>
      <c r="S192" s="3" t="s">
        <v>645</v>
      </c>
      <c r="T192" s="3" t="s">
        <v>646</v>
      </c>
    </row>
    <row r="193" spans="1:20" x14ac:dyDescent="0.3">
      <c r="A193" s="3" t="s">
        <v>647</v>
      </c>
      <c r="B193" s="3" t="s">
        <v>136</v>
      </c>
      <c r="C193" s="3" t="s">
        <v>69</v>
      </c>
      <c r="D193" s="3" t="s">
        <v>57</v>
      </c>
      <c r="E193" s="3" t="s">
        <v>48</v>
      </c>
      <c r="F193" s="3" t="s">
        <v>27</v>
      </c>
      <c r="G193" s="3" t="s">
        <v>39</v>
      </c>
      <c r="H193" s="3" t="s">
        <v>71</v>
      </c>
      <c r="I193" s="3" t="s">
        <v>25</v>
      </c>
      <c r="J193" s="3" t="s">
        <v>29</v>
      </c>
      <c r="K193" s="4">
        <v>45027</v>
      </c>
      <c r="L193" s="3">
        <v>5</v>
      </c>
      <c r="M193" s="3">
        <v>64198</v>
      </c>
      <c r="N193" s="3">
        <v>10782</v>
      </c>
      <c r="O193" s="3">
        <v>4.9000000000000004</v>
      </c>
      <c r="P193" s="3" t="s">
        <v>30</v>
      </c>
      <c r="Q193" s="3" t="s">
        <v>60</v>
      </c>
      <c r="R193" s="3" t="s">
        <v>64</v>
      </c>
      <c r="S193" s="3" t="s">
        <v>648</v>
      </c>
      <c r="T193" s="3" t="s">
        <v>649</v>
      </c>
    </row>
    <row r="194" spans="1:20" x14ac:dyDescent="0.3">
      <c r="A194" s="3" t="s">
        <v>650</v>
      </c>
      <c r="B194" s="3" t="s">
        <v>109</v>
      </c>
      <c r="C194" s="3" t="s">
        <v>56</v>
      </c>
      <c r="D194" s="3" t="s">
        <v>86</v>
      </c>
      <c r="E194" s="3" t="s">
        <v>80</v>
      </c>
      <c r="F194" s="3" t="s">
        <v>25</v>
      </c>
      <c r="G194" s="3" t="s">
        <v>59</v>
      </c>
      <c r="H194" s="3" t="s">
        <v>71</v>
      </c>
      <c r="I194" s="3" t="s">
        <v>27</v>
      </c>
      <c r="J194" s="3" t="s">
        <v>41</v>
      </c>
      <c r="K194" s="4">
        <v>44208</v>
      </c>
      <c r="L194" s="3">
        <v>15</v>
      </c>
      <c r="M194" s="3">
        <v>36431</v>
      </c>
      <c r="N194" s="3">
        <v>4235</v>
      </c>
      <c r="O194" s="3">
        <v>3.2</v>
      </c>
      <c r="P194" s="3" t="s">
        <v>30</v>
      </c>
      <c r="Q194" s="3" t="s">
        <v>43</v>
      </c>
      <c r="R194" s="3" t="s">
        <v>32</v>
      </c>
      <c r="S194" s="3" t="s">
        <v>651</v>
      </c>
      <c r="T194" s="3" t="s">
        <v>652</v>
      </c>
    </row>
    <row r="195" spans="1:20" x14ac:dyDescent="0.3">
      <c r="A195" s="3" t="s">
        <v>653</v>
      </c>
      <c r="B195" s="3" t="s">
        <v>79</v>
      </c>
      <c r="C195" s="3" t="s">
        <v>56</v>
      </c>
      <c r="D195" s="3" t="s">
        <v>86</v>
      </c>
      <c r="E195" s="3" t="s">
        <v>37</v>
      </c>
      <c r="F195" s="3" t="s">
        <v>28</v>
      </c>
      <c r="G195" s="3" t="s">
        <v>81</v>
      </c>
      <c r="H195" s="3" t="s">
        <v>27</v>
      </c>
      <c r="I195" s="3" t="s">
        <v>98</v>
      </c>
      <c r="J195" s="3" t="s">
        <v>29</v>
      </c>
      <c r="K195" s="4">
        <v>44224</v>
      </c>
      <c r="L195" s="3">
        <v>8</v>
      </c>
      <c r="M195" s="3">
        <v>52784</v>
      </c>
      <c r="N195" s="3">
        <v>9831</v>
      </c>
      <c r="O195" s="3">
        <v>4.8</v>
      </c>
      <c r="P195" s="3" t="s">
        <v>30</v>
      </c>
      <c r="Q195" s="3" t="s">
        <v>60</v>
      </c>
      <c r="R195" s="3" t="s">
        <v>51</v>
      </c>
      <c r="S195" s="3" t="s">
        <v>654</v>
      </c>
      <c r="T195" s="3" t="s">
        <v>655</v>
      </c>
    </row>
    <row r="196" spans="1:20" x14ac:dyDescent="0.3">
      <c r="A196" s="3" t="s">
        <v>656</v>
      </c>
      <c r="B196" s="3" t="s">
        <v>68</v>
      </c>
      <c r="C196" s="3" t="s">
        <v>85</v>
      </c>
      <c r="D196" s="3" t="s">
        <v>70</v>
      </c>
      <c r="E196" s="3" t="s">
        <v>48</v>
      </c>
      <c r="F196" s="3" t="s">
        <v>25</v>
      </c>
      <c r="G196" s="3" t="s">
        <v>26</v>
      </c>
      <c r="H196" s="3" t="s">
        <v>97</v>
      </c>
      <c r="I196" s="3" t="s">
        <v>27</v>
      </c>
      <c r="J196" s="3" t="s">
        <v>41</v>
      </c>
      <c r="K196" s="4">
        <v>43649</v>
      </c>
      <c r="L196" s="3">
        <v>5</v>
      </c>
      <c r="M196" s="3">
        <v>80304</v>
      </c>
      <c r="N196" s="3">
        <v>7421</v>
      </c>
      <c r="O196" s="3">
        <v>3.9</v>
      </c>
      <c r="P196" s="3" t="s">
        <v>30</v>
      </c>
      <c r="Q196" s="3" t="s">
        <v>60</v>
      </c>
      <c r="R196" s="3" t="s">
        <v>64</v>
      </c>
      <c r="S196" s="3" t="s">
        <v>657</v>
      </c>
      <c r="T196" s="3" t="s">
        <v>658</v>
      </c>
    </row>
    <row r="197" spans="1:20" x14ac:dyDescent="0.3">
      <c r="A197" s="3" t="s">
        <v>659</v>
      </c>
      <c r="B197" s="3" t="s">
        <v>79</v>
      </c>
      <c r="C197" s="3" t="s">
        <v>102</v>
      </c>
      <c r="D197" s="3" t="s">
        <v>57</v>
      </c>
      <c r="E197" s="3" t="s">
        <v>80</v>
      </c>
      <c r="F197" s="3" t="s">
        <v>38</v>
      </c>
      <c r="G197" s="3" t="s">
        <v>59</v>
      </c>
      <c r="H197" s="3" t="s">
        <v>27</v>
      </c>
      <c r="I197" s="3" t="s">
        <v>49</v>
      </c>
      <c r="J197" s="3" t="s">
        <v>29</v>
      </c>
      <c r="K197" s="4">
        <v>43878</v>
      </c>
      <c r="L197" s="3">
        <v>14</v>
      </c>
      <c r="M197" s="3">
        <v>64514</v>
      </c>
      <c r="N197" s="3">
        <v>12289</v>
      </c>
      <c r="O197" s="3">
        <v>3.2</v>
      </c>
      <c r="P197" s="3" t="s">
        <v>30</v>
      </c>
      <c r="Q197" s="3" t="s">
        <v>31</v>
      </c>
      <c r="R197" s="3" t="s">
        <v>64</v>
      </c>
      <c r="S197" s="3" t="s">
        <v>660</v>
      </c>
      <c r="T197" s="3" t="s">
        <v>661</v>
      </c>
    </row>
    <row r="198" spans="1:20" x14ac:dyDescent="0.3">
      <c r="A198" s="3" t="s">
        <v>662</v>
      </c>
      <c r="B198" s="3" t="s">
        <v>90</v>
      </c>
      <c r="C198" s="3" t="s">
        <v>85</v>
      </c>
      <c r="D198" s="3" t="s">
        <v>70</v>
      </c>
      <c r="E198" s="3" t="s">
        <v>80</v>
      </c>
      <c r="F198" s="3" t="s">
        <v>28</v>
      </c>
      <c r="G198" s="3" t="s">
        <v>39</v>
      </c>
      <c r="H198" s="3" t="s">
        <v>27</v>
      </c>
      <c r="I198" s="3" t="s">
        <v>25</v>
      </c>
      <c r="J198" s="3" t="s">
        <v>29</v>
      </c>
      <c r="K198" s="4">
        <v>45149</v>
      </c>
      <c r="L198" s="3">
        <v>3</v>
      </c>
      <c r="M198" s="3">
        <v>74788</v>
      </c>
      <c r="N198" s="3">
        <v>3689</v>
      </c>
      <c r="O198" s="3">
        <v>3.5</v>
      </c>
      <c r="P198" s="3" t="s">
        <v>30</v>
      </c>
      <c r="Q198" s="3" t="s">
        <v>60</v>
      </c>
      <c r="R198" s="3" t="s">
        <v>32</v>
      </c>
      <c r="S198" s="3" t="s">
        <v>663</v>
      </c>
      <c r="T198" s="3" t="s">
        <v>664</v>
      </c>
    </row>
    <row r="199" spans="1:20" x14ac:dyDescent="0.3">
      <c r="A199" s="3" t="s">
        <v>665</v>
      </c>
      <c r="B199" s="3" t="s">
        <v>68</v>
      </c>
      <c r="C199" s="3" t="s">
        <v>56</v>
      </c>
      <c r="D199" s="3" t="s">
        <v>86</v>
      </c>
      <c r="E199" s="3" t="s">
        <v>37</v>
      </c>
      <c r="F199" s="3" t="s">
        <v>25</v>
      </c>
      <c r="G199" s="3" t="s">
        <v>59</v>
      </c>
      <c r="H199" s="3" t="s">
        <v>40</v>
      </c>
      <c r="I199" s="3" t="s">
        <v>25</v>
      </c>
      <c r="J199" s="3" t="s">
        <v>29</v>
      </c>
      <c r="K199" s="4">
        <v>43910</v>
      </c>
      <c r="L199" s="3">
        <v>8</v>
      </c>
      <c r="M199" s="3">
        <v>54507</v>
      </c>
      <c r="N199" s="3">
        <v>7635</v>
      </c>
      <c r="O199" s="3">
        <v>3.8</v>
      </c>
      <c r="P199" s="3" t="s">
        <v>30</v>
      </c>
      <c r="Q199" s="3" t="s">
        <v>31</v>
      </c>
      <c r="R199" s="3" t="s">
        <v>32</v>
      </c>
      <c r="S199" s="3" t="s">
        <v>666</v>
      </c>
      <c r="T199" s="3" t="s">
        <v>667</v>
      </c>
    </row>
    <row r="200" spans="1:20" x14ac:dyDescent="0.3">
      <c r="A200" s="3" t="s">
        <v>668</v>
      </c>
      <c r="B200" s="3" t="s">
        <v>175</v>
      </c>
      <c r="C200" s="3" t="s">
        <v>69</v>
      </c>
      <c r="D200" s="3" t="s">
        <v>4</v>
      </c>
      <c r="E200" s="3" t="s">
        <v>24</v>
      </c>
      <c r="F200" s="3" t="s">
        <v>98</v>
      </c>
      <c r="G200" s="3" t="s">
        <v>39</v>
      </c>
      <c r="H200" s="3" t="s">
        <v>97</v>
      </c>
      <c r="I200" s="3" t="s">
        <v>49</v>
      </c>
      <c r="J200" s="3" t="s">
        <v>29</v>
      </c>
      <c r="K200" s="4">
        <v>43183</v>
      </c>
      <c r="L200" s="3">
        <v>5</v>
      </c>
      <c r="M200" s="3">
        <v>76633</v>
      </c>
      <c r="N200" s="3">
        <v>4170</v>
      </c>
      <c r="O200" s="3">
        <v>4.9000000000000004</v>
      </c>
      <c r="P200" s="3" t="s">
        <v>42</v>
      </c>
      <c r="Q200" s="3" t="s">
        <v>31</v>
      </c>
      <c r="R200" s="3" t="s">
        <v>64</v>
      </c>
      <c r="S200" s="3" t="s">
        <v>669</v>
      </c>
      <c r="T200" s="3" t="s">
        <v>670</v>
      </c>
    </row>
    <row r="201" spans="1:20" x14ac:dyDescent="0.3">
      <c r="A201" s="3" t="s">
        <v>671</v>
      </c>
      <c r="B201" s="3" t="s">
        <v>109</v>
      </c>
      <c r="C201" s="3" t="s">
        <v>69</v>
      </c>
      <c r="D201" s="3" t="s">
        <v>4</v>
      </c>
      <c r="E201" s="3" t="s">
        <v>80</v>
      </c>
      <c r="F201" s="3" t="s">
        <v>25</v>
      </c>
      <c r="G201" s="3" t="s">
        <v>81</v>
      </c>
      <c r="H201" s="3" t="s">
        <v>71</v>
      </c>
      <c r="I201" s="3" t="s">
        <v>25</v>
      </c>
      <c r="J201" s="3" t="s">
        <v>41</v>
      </c>
      <c r="K201" s="4">
        <v>44137</v>
      </c>
      <c r="L201" s="3">
        <v>11</v>
      </c>
      <c r="M201" s="3">
        <v>80807</v>
      </c>
      <c r="N201" s="3">
        <v>11189</v>
      </c>
      <c r="O201" s="3">
        <v>4.4000000000000004</v>
      </c>
      <c r="P201" s="3" t="s">
        <v>30</v>
      </c>
      <c r="Q201" s="3" t="s">
        <v>31</v>
      </c>
      <c r="R201" s="3" t="s">
        <v>64</v>
      </c>
      <c r="S201" s="3" t="s">
        <v>672</v>
      </c>
      <c r="T201" s="3" t="s">
        <v>673</v>
      </c>
    </row>
    <row r="202" spans="1:20" x14ac:dyDescent="0.3">
      <c r="A202" s="3" t="s">
        <v>674</v>
      </c>
      <c r="B202" s="3" t="s">
        <v>129</v>
      </c>
      <c r="C202" s="3" t="s">
        <v>22</v>
      </c>
      <c r="D202" s="3" t="s">
        <v>4</v>
      </c>
      <c r="E202" s="3" t="s">
        <v>37</v>
      </c>
      <c r="F202" s="3" t="s">
        <v>27</v>
      </c>
      <c r="G202" s="3" t="s">
        <v>39</v>
      </c>
      <c r="H202" s="3" t="s">
        <v>97</v>
      </c>
      <c r="I202" s="3" t="s">
        <v>49</v>
      </c>
      <c r="J202" s="3" t="s">
        <v>29</v>
      </c>
      <c r="K202" s="4">
        <v>43741</v>
      </c>
      <c r="L202" s="3">
        <v>14</v>
      </c>
      <c r="M202" s="3">
        <v>45616</v>
      </c>
      <c r="N202" s="3">
        <v>5408</v>
      </c>
      <c r="O202" s="3">
        <v>4.2</v>
      </c>
      <c r="P202" s="3" t="s">
        <v>30</v>
      </c>
      <c r="Q202" s="3" t="s">
        <v>60</v>
      </c>
      <c r="R202" s="3" t="s">
        <v>64</v>
      </c>
      <c r="S202" s="3" t="s">
        <v>675</v>
      </c>
      <c r="T202" s="3" t="s">
        <v>676</v>
      </c>
    </row>
    <row r="203" spans="1:20" x14ac:dyDescent="0.3">
      <c r="A203" s="3" t="s">
        <v>677</v>
      </c>
      <c r="B203" s="3" t="s">
        <v>75</v>
      </c>
      <c r="C203" s="3" t="s">
        <v>36</v>
      </c>
      <c r="D203" s="3" t="s">
        <v>57</v>
      </c>
      <c r="E203" s="3" t="s">
        <v>80</v>
      </c>
      <c r="F203" s="3" t="s">
        <v>27</v>
      </c>
      <c r="G203" s="3" t="s">
        <v>39</v>
      </c>
      <c r="H203" s="3" t="s">
        <v>50</v>
      </c>
      <c r="I203" s="3" t="s">
        <v>49</v>
      </c>
      <c r="J203" s="3" t="s">
        <v>41</v>
      </c>
      <c r="K203" s="4">
        <v>43922</v>
      </c>
      <c r="L203" s="3">
        <v>14</v>
      </c>
      <c r="M203" s="3">
        <v>42894</v>
      </c>
      <c r="N203" s="3">
        <v>7703</v>
      </c>
      <c r="O203" s="3">
        <v>3.4</v>
      </c>
      <c r="P203" s="3" t="s">
        <v>30</v>
      </c>
      <c r="Q203" s="3" t="s">
        <v>43</v>
      </c>
      <c r="R203" s="3" t="s">
        <v>51</v>
      </c>
      <c r="S203" s="3" t="s">
        <v>678</v>
      </c>
      <c r="T203" s="3" t="s">
        <v>679</v>
      </c>
    </row>
    <row r="204" spans="1:20" x14ac:dyDescent="0.3">
      <c r="A204" s="3" t="s">
        <v>680</v>
      </c>
      <c r="B204" s="3" t="s">
        <v>171</v>
      </c>
      <c r="C204" s="3" t="s">
        <v>85</v>
      </c>
      <c r="D204" s="3" t="s">
        <v>4</v>
      </c>
      <c r="E204" s="3" t="s">
        <v>80</v>
      </c>
      <c r="F204" s="3" t="s">
        <v>27</v>
      </c>
      <c r="G204" s="3" t="s">
        <v>59</v>
      </c>
      <c r="H204" s="3" t="s">
        <v>40</v>
      </c>
      <c r="I204" s="3" t="s">
        <v>28</v>
      </c>
      <c r="J204" s="3" t="s">
        <v>29</v>
      </c>
      <c r="K204" s="4">
        <v>45174</v>
      </c>
      <c r="L204" s="3">
        <v>9</v>
      </c>
      <c r="M204" s="3">
        <v>28023</v>
      </c>
      <c r="N204" s="3">
        <v>3261</v>
      </c>
      <c r="O204" s="3">
        <v>4.0999999999999996</v>
      </c>
      <c r="P204" s="3" t="s">
        <v>42</v>
      </c>
      <c r="Q204" s="3" t="s">
        <v>60</v>
      </c>
      <c r="R204" s="3" t="s">
        <v>64</v>
      </c>
      <c r="S204" s="3" t="s">
        <v>681</v>
      </c>
      <c r="T204" s="3" t="s">
        <v>682</v>
      </c>
    </row>
    <row r="205" spans="1:20" x14ac:dyDescent="0.3">
      <c r="A205" s="3" t="s">
        <v>683</v>
      </c>
      <c r="B205" s="3" t="s">
        <v>175</v>
      </c>
      <c r="C205" s="3" t="s">
        <v>36</v>
      </c>
      <c r="D205" s="3" t="s">
        <v>70</v>
      </c>
      <c r="E205" s="3" t="s">
        <v>48</v>
      </c>
      <c r="F205" s="3" t="s">
        <v>27</v>
      </c>
      <c r="G205" s="3" t="s">
        <v>81</v>
      </c>
      <c r="H205" s="3" t="s">
        <v>71</v>
      </c>
      <c r="I205" s="3" t="s">
        <v>28</v>
      </c>
      <c r="J205" s="3" t="s">
        <v>41</v>
      </c>
      <c r="K205" s="4">
        <v>44282</v>
      </c>
      <c r="L205" s="3">
        <v>9</v>
      </c>
      <c r="M205" s="3">
        <v>31446</v>
      </c>
      <c r="N205" s="3">
        <v>3883</v>
      </c>
      <c r="O205" s="3">
        <v>4.5</v>
      </c>
      <c r="P205" s="3" t="s">
        <v>30</v>
      </c>
      <c r="Q205" s="3" t="s">
        <v>31</v>
      </c>
      <c r="R205" s="3" t="s">
        <v>51</v>
      </c>
      <c r="S205" s="3" t="s">
        <v>684</v>
      </c>
      <c r="T205" s="3" t="s">
        <v>685</v>
      </c>
    </row>
    <row r="206" spans="1:20" x14ac:dyDescent="0.3">
      <c r="A206" s="3" t="s">
        <v>686</v>
      </c>
      <c r="B206" s="3" t="s">
        <v>75</v>
      </c>
      <c r="C206" s="3" t="s">
        <v>69</v>
      </c>
      <c r="D206" s="3" t="s">
        <v>86</v>
      </c>
      <c r="E206" s="3" t="s">
        <v>48</v>
      </c>
      <c r="F206" s="3" t="s">
        <v>27</v>
      </c>
      <c r="G206" s="3" t="s">
        <v>26</v>
      </c>
      <c r="H206" s="3" t="s">
        <v>50</v>
      </c>
      <c r="I206" s="3" t="s">
        <v>28</v>
      </c>
      <c r="J206" s="3" t="s">
        <v>29</v>
      </c>
      <c r="K206" s="4">
        <v>43709</v>
      </c>
      <c r="L206" s="3">
        <v>15</v>
      </c>
      <c r="M206" s="3">
        <v>89522</v>
      </c>
      <c r="N206" s="3">
        <v>12169</v>
      </c>
      <c r="O206" s="3">
        <v>4</v>
      </c>
      <c r="P206" s="3" t="s">
        <v>42</v>
      </c>
      <c r="Q206" s="3" t="s">
        <v>43</v>
      </c>
      <c r="R206" s="3" t="s">
        <v>64</v>
      </c>
      <c r="S206" s="3" t="s">
        <v>687</v>
      </c>
      <c r="T206" s="3" t="s">
        <v>688</v>
      </c>
    </row>
    <row r="207" spans="1:20" x14ac:dyDescent="0.3">
      <c r="A207" s="3" t="s">
        <v>689</v>
      </c>
      <c r="B207" s="3" t="s">
        <v>21</v>
      </c>
      <c r="C207" s="3" t="s">
        <v>85</v>
      </c>
      <c r="D207" s="3" t="s">
        <v>86</v>
      </c>
      <c r="E207" s="3" t="s">
        <v>37</v>
      </c>
      <c r="F207" s="3" t="s">
        <v>38</v>
      </c>
      <c r="G207" s="3" t="s">
        <v>81</v>
      </c>
      <c r="H207" s="3" t="s">
        <v>97</v>
      </c>
      <c r="I207" s="3" t="s">
        <v>49</v>
      </c>
      <c r="J207" s="3" t="s">
        <v>29</v>
      </c>
      <c r="K207" s="4">
        <v>44855</v>
      </c>
      <c r="L207" s="3">
        <v>3</v>
      </c>
      <c r="M207" s="3">
        <v>53146</v>
      </c>
      <c r="N207" s="3">
        <v>4946</v>
      </c>
      <c r="O207" s="3">
        <v>3.3</v>
      </c>
      <c r="P207" s="3" t="s">
        <v>30</v>
      </c>
      <c r="Q207" s="3" t="s">
        <v>31</v>
      </c>
      <c r="R207" s="3" t="s">
        <v>51</v>
      </c>
      <c r="S207" s="3" t="s">
        <v>690</v>
      </c>
      <c r="T207" s="3" t="s">
        <v>691</v>
      </c>
    </row>
    <row r="208" spans="1:20" x14ac:dyDescent="0.3">
      <c r="A208" s="3" t="s">
        <v>692</v>
      </c>
      <c r="B208" s="3" t="s">
        <v>55</v>
      </c>
      <c r="C208" s="3" t="s">
        <v>36</v>
      </c>
      <c r="D208" s="3" t="s">
        <v>70</v>
      </c>
      <c r="E208" s="3" t="s">
        <v>80</v>
      </c>
      <c r="F208" s="3" t="s">
        <v>28</v>
      </c>
      <c r="G208" s="3" t="s">
        <v>81</v>
      </c>
      <c r="H208" s="3" t="s">
        <v>97</v>
      </c>
      <c r="I208" s="3" t="s">
        <v>28</v>
      </c>
      <c r="J208" s="3" t="s">
        <v>41</v>
      </c>
      <c r="K208" s="4">
        <v>44794</v>
      </c>
      <c r="L208" s="3">
        <v>2</v>
      </c>
      <c r="M208" s="3">
        <v>69667</v>
      </c>
      <c r="N208" s="3">
        <v>14761</v>
      </c>
      <c r="O208" s="3">
        <v>4.4000000000000004</v>
      </c>
      <c r="P208" s="3" t="s">
        <v>30</v>
      </c>
      <c r="Q208" s="3" t="s">
        <v>43</v>
      </c>
      <c r="R208" s="3" t="s">
        <v>64</v>
      </c>
      <c r="S208" s="3" t="s">
        <v>693</v>
      </c>
      <c r="T208" s="3" t="s">
        <v>694</v>
      </c>
    </row>
    <row r="209" spans="1:20" x14ac:dyDescent="0.3">
      <c r="A209" s="3" t="s">
        <v>695</v>
      </c>
      <c r="B209" s="3" t="s">
        <v>203</v>
      </c>
      <c r="C209" s="3" t="s">
        <v>69</v>
      </c>
      <c r="D209" s="3" t="s">
        <v>70</v>
      </c>
      <c r="E209" s="3" t="s">
        <v>48</v>
      </c>
      <c r="F209" s="3" t="s">
        <v>25</v>
      </c>
      <c r="G209" s="3" t="s">
        <v>26</v>
      </c>
      <c r="H209" s="3" t="s">
        <v>27</v>
      </c>
      <c r="I209" s="3" t="s">
        <v>25</v>
      </c>
      <c r="J209" s="3" t="s">
        <v>29</v>
      </c>
      <c r="K209" s="4">
        <v>45557</v>
      </c>
      <c r="L209" s="3">
        <v>4</v>
      </c>
      <c r="M209" s="3">
        <v>39638</v>
      </c>
      <c r="N209" s="3">
        <v>8411</v>
      </c>
      <c r="O209" s="3">
        <v>4.8</v>
      </c>
      <c r="P209" s="3" t="s">
        <v>42</v>
      </c>
      <c r="Q209" s="3" t="s">
        <v>31</v>
      </c>
      <c r="R209" s="3" t="s">
        <v>51</v>
      </c>
      <c r="S209" s="3" t="s">
        <v>696</v>
      </c>
      <c r="T209" s="3" t="s">
        <v>697</v>
      </c>
    </row>
    <row r="210" spans="1:20" x14ac:dyDescent="0.3">
      <c r="A210" s="3" t="s">
        <v>698</v>
      </c>
      <c r="B210" s="3" t="s">
        <v>136</v>
      </c>
      <c r="C210" s="3" t="s">
        <v>22</v>
      </c>
      <c r="D210" s="3" t="s">
        <v>4</v>
      </c>
      <c r="E210" s="3" t="s">
        <v>48</v>
      </c>
      <c r="F210" s="3" t="s">
        <v>98</v>
      </c>
      <c r="G210" s="3" t="s">
        <v>39</v>
      </c>
      <c r="H210" s="3" t="s">
        <v>40</v>
      </c>
      <c r="I210" s="3" t="s">
        <v>28</v>
      </c>
      <c r="J210" s="3" t="s">
        <v>29</v>
      </c>
      <c r="K210" s="4">
        <v>44364</v>
      </c>
      <c r="L210" s="3">
        <v>1</v>
      </c>
      <c r="M210" s="3">
        <v>75221</v>
      </c>
      <c r="N210" s="3">
        <v>3087</v>
      </c>
      <c r="O210" s="3">
        <v>4.5999999999999996</v>
      </c>
      <c r="P210" s="3" t="s">
        <v>42</v>
      </c>
      <c r="Q210" s="3" t="s">
        <v>31</v>
      </c>
      <c r="R210" s="3" t="s">
        <v>64</v>
      </c>
      <c r="S210" s="3" t="s">
        <v>699</v>
      </c>
      <c r="T210" s="3" t="s">
        <v>700</v>
      </c>
    </row>
    <row r="211" spans="1:20" x14ac:dyDescent="0.3">
      <c r="A211" s="3" t="s">
        <v>701</v>
      </c>
      <c r="B211" s="3" t="s">
        <v>47</v>
      </c>
      <c r="C211" s="3" t="s">
        <v>69</v>
      </c>
      <c r="D211" s="3" t="s">
        <v>4</v>
      </c>
      <c r="E211" s="3" t="s">
        <v>48</v>
      </c>
      <c r="F211" s="3" t="s">
        <v>27</v>
      </c>
      <c r="G211" s="3" t="s">
        <v>81</v>
      </c>
      <c r="H211" s="3" t="s">
        <v>71</v>
      </c>
      <c r="I211" s="3" t="s">
        <v>38</v>
      </c>
      <c r="J211" s="3" t="s">
        <v>41</v>
      </c>
      <c r="K211" s="4">
        <v>43824</v>
      </c>
      <c r="L211" s="3">
        <v>2</v>
      </c>
      <c r="M211" s="3">
        <v>37556</v>
      </c>
      <c r="N211" s="3">
        <v>12743</v>
      </c>
      <c r="O211" s="3">
        <v>4.0999999999999996</v>
      </c>
      <c r="P211" s="3" t="s">
        <v>30</v>
      </c>
      <c r="Q211" s="3" t="s">
        <v>60</v>
      </c>
      <c r="R211" s="3" t="s">
        <v>64</v>
      </c>
      <c r="S211" s="3" t="s">
        <v>702</v>
      </c>
      <c r="T211" s="3" t="s">
        <v>703</v>
      </c>
    </row>
    <row r="212" spans="1:20" x14ac:dyDescent="0.3">
      <c r="A212" s="3" t="s">
        <v>704</v>
      </c>
      <c r="B212" s="3" t="s">
        <v>47</v>
      </c>
      <c r="C212" s="3" t="s">
        <v>102</v>
      </c>
      <c r="D212" s="3" t="s">
        <v>86</v>
      </c>
      <c r="E212" s="3" t="s">
        <v>24</v>
      </c>
      <c r="F212" s="3" t="s">
        <v>38</v>
      </c>
      <c r="G212" s="3" t="s">
        <v>59</v>
      </c>
      <c r="H212" s="3" t="s">
        <v>50</v>
      </c>
      <c r="I212" s="3" t="s">
        <v>98</v>
      </c>
      <c r="J212" s="3" t="s">
        <v>41</v>
      </c>
      <c r="K212" s="4">
        <v>44093</v>
      </c>
      <c r="L212" s="3">
        <v>13</v>
      </c>
      <c r="M212" s="3">
        <v>80436</v>
      </c>
      <c r="N212" s="3">
        <v>3617</v>
      </c>
      <c r="O212" s="3">
        <v>4.5</v>
      </c>
      <c r="P212" s="3" t="s">
        <v>42</v>
      </c>
      <c r="Q212" s="3" t="s">
        <v>31</v>
      </c>
      <c r="R212" s="3" t="s">
        <v>51</v>
      </c>
      <c r="S212" s="3" t="s">
        <v>705</v>
      </c>
      <c r="T212" s="3" t="s">
        <v>706</v>
      </c>
    </row>
    <row r="213" spans="1:20" x14ac:dyDescent="0.3">
      <c r="A213" s="3" t="s">
        <v>707</v>
      </c>
      <c r="B213" s="3" t="s">
        <v>75</v>
      </c>
      <c r="C213" s="3" t="s">
        <v>69</v>
      </c>
      <c r="D213" s="3" t="s">
        <v>70</v>
      </c>
      <c r="E213" s="3" t="s">
        <v>37</v>
      </c>
      <c r="F213" s="3" t="s">
        <v>98</v>
      </c>
      <c r="G213" s="3" t="s">
        <v>39</v>
      </c>
      <c r="H213" s="3" t="s">
        <v>40</v>
      </c>
      <c r="I213" s="3" t="s">
        <v>49</v>
      </c>
      <c r="J213" s="3" t="s">
        <v>41</v>
      </c>
      <c r="K213" s="4">
        <v>45269</v>
      </c>
      <c r="L213" s="3">
        <v>10</v>
      </c>
      <c r="M213" s="3">
        <v>51117</v>
      </c>
      <c r="N213" s="3">
        <v>12950</v>
      </c>
      <c r="O213" s="3">
        <v>3.2</v>
      </c>
      <c r="P213" s="3" t="s">
        <v>42</v>
      </c>
      <c r="Q213" s="3" t="s">
        <v>60</v>
      </c>
      <c r="R213" s="3" t="s">
        <v>32</v>
      </c>
      <c r="S213" s="3" t="s">
        <v>708</v>
      </c>
      <c r="T213" s="3" t="s">
        <v>709</v>
      </c>
    </row>
    <row r="214" spans="1:20" x14ac:dyDescent="0.3">
      <c r="A214" s="3" t="s">
        <v>710</v>
      </c>
      <c r="B214" s="3" t="s">
        <v>68</v>
      </c>
      <c r="C214" s="3" t="s">
        <v>22</v>
      </c>
      <c r="D214" s="3" t="s">
        <v>23</v>
      </c>
      <c r="E214" s="3" t="s">
        <v>80</v>
      </c>
      <c r="F214" s="3" t="s">
        <v>25</v>
      </c>
      <c r="G214" s="3" t="s">
        <v>81</v>
      </c>
      <c r="H214" s="3" t="s">
        <v>50</v>
      </c>
      <c r="I214" s="3" t="s">
        <v>98</v>
      </c>
      <c r="J214" s="3" t="s">
        <v>41</v>
      </c>
      <c r="K214" s="4">
        <v>45474</v>
      </c>
      <c r="L214" s="3">
        <v>13</v>
      </c>
      <c r="M214" s="3">
        <v>80424</v>
      </c>
      <c r="N214" s="3">
        <v>3178</v>
      </c>
      <c r="O214" s="3">
        <v>3.7</v>
      </c>
      <c r="P214" s="3" t="s">
        <v>42</v>
      </c>
      <c r="Q214" s="3" t="s">
        <v>60</v>
      </c>
      <c r="R214" s="3" t="s">
        <v>64</v>
      </c>
      <c r="S214" s="3" t="s">
        <v>711</v>
      </c>
      <c r="T214" s="3" t="s">
        <v>712</v>
      </c>
    </row>
    <row r="215" spans="1:20" x14ac:dyDescent="0.3">
      <c r="A215" s="3" t="s">
        <v>713</v>
      </c>
      <c r="B215" s="3" t="s">
        <v>75</v>
      </c>
      <c r="C215" s="3" t="s">
        <v>56</v>
      </c>
      <c r="D215" s="3" t="s">
        <v>57</v>
      </c>
      <c r="E215" s="3" t="s">
        <v>58</v>
      </c>
      <c r="F215" s="3" t="s">
        <v>27</v>
      </c>
      <c r="G215" s="3" t="s">
        <v>39</v>
      </c>
      <c r="H215" s="3" t="s">
        <v>97</v>
      </c>
      <c r="I215" s="3" t="s">
        <v>27</v>
      </c>
      <c r="J215" s="3" t="s">
        <v>29</v>
      </c>
      <c r="K215" s="4">
        <v>44651</v>
      </c>
      <c r="L215" s="3">
        <v>14</v>
      </c>
      <c r="M215" s="3">
        <v>40293</v>
      </c>
      <c r="N215" s="3">
        <v>10847</v>
      </c>
      <c r="O215" s="3">
        <v>4</v>
      </c>
      <c r="P215" s="3" t="s">
        <v>42</v>
      </c>
      <c r="Q215" s="3" t="s">
        <v>60</v>
      </c>
      <c r="R215" s="3" t="s">
        <v>32</v>
      </c>
      <c r="S215" s="3" t="s">
        <v>714</v>
      </c>
      <c r="T215" s="3" t="s">
        <v>715</v>
      </c>
    </row>
    <row r="216" spans="1:20" x14ac:dyDescent="0.3">
      <c r="A216" s="3" t="s">
        <v>716</v>
      </c>
      <c r="B216" s="3" t="s">
        <v>171</v>
      </c>
      <c r="C216" s="3" t="s">
        <v>102</v>
      </c>
      <c r="D216" s="3" t="s">
        <v>57</v>
      </c>
      <c r="E216" s="3" t="s">
        <v>80</v>
      </c>
      <c r="F216" s="3" t="s">
        <v>28</v>
      </c>
      <c r="G216" s="3" t="s">
        <v>39</v>
      </c>
      <c r="H216" s="3" t="s">
        <v>71</v>
      </c>
      <c r="I216" s="3" t="s">
        <v>28</v>
      </c>
      <c r="J216" s="3" t="s">
        <v>29</v>
      </c>
      <c r="K216" s="4">
        <v>45238</v>
      </c>
      <c r="L216" s="3">
        <v>8</v>
      </c>
      <c r="M216" s="3">
        <v>51936</v>
      </c>
      <c r="N216" s="3">
        <v>5649</v>
      </c>
      <c r="O216" s="3">
        <v>3</v>
      </c>
      <c r="P216" s="3" t="s">
        <v>30</v>
      </c>
      <c r="Q216" s="3" t="s">
        <v>31</v>
      </c>
      <c r="R216" s="3" t="s">
        <v>64</v>
      </c>
      <c r="S216" s="3" t="s">
        <v>717</v>
      </c>
      <c r="T216" s="3" t="s">
        <v>718</v>
      </c>
    </row>
    <row r="217" spans="1:20" x14ac:dyDescent="0.3">
      <c r="A217" s="3" t="s">
        <v>719</v>
      </c>
      <c r="B217" s="3" t="s">
        <v>47</v>
      </c>
      <c r="C217" s="3" t="s">
        <v>56</v>
      </c>
      <c r="D217" s="3" t="s">
        <v>4</v>
      </c>
      <c r="E217" s="3" t="s">
        <v>80</v>
      </c>
      <c r="F217" s="3" t="s">
        <v>38</v>
      </c>
      <c r="G217" s="3" t="s">
        <v>39</v>
      </c>
      <c r="H217" s="3" t="s">
        <v>40</v>
      </c>
      <c r="I217" s="3" t="s">
        <v>28</v>
      </c>
      <c r="J217" s="3" t="s">
        <v>29</v>
      </c>
      <c r="K217" s="4">
        <v>43718</v>
      </c>
      <c r="L217" s="3">
        <v>4</v>
      </c>
      <c r="M217" s="3">
        <v>28445</v>
      </c>
      <c r="N217" s="3">
        <v>9483</v>
      </c>
      <c r="O217" s="3">
        <v>4.5</v>
      </c>
      <c r="P217" s="3" t="s">
        <v>30</v>
      </c>
      <c r="Q217" s="3" t="s">
        <v>31</v>
      </c>
      <c r="R217" s="3" t="s">
        <v>64</v>
      </c>
      <c r="S217" s="3" t="s">
        <v>720</v>
      </c>
      <c r="T217" s="3" t="s">
        <v>721</v>
      </c>
    </row>
    <row r="218" spans="1:20" x14ac:dyDescent="0.3">
      <c r="A218" s="3" t="s">
        <v>722</v>
      </c>
      <c r="B218" s="3" t="s">
        <v>75</v>
      </c>
      <c r="C218" s="3" t="s">
        <v>85</v>
      </c>
      <c r="D218" s="3" t="s">
        <v>86</v>
      </c>
      <c r="E218" s="3" t="s">
        <v>24</v>
      </c>
      <c r="F218" s="3" t="s">
        <v>25</v>
      </c>
      <c r="G218" s="3" t="s">
        <v>26</v>
      </c>
      <c r="H218" s="3" t="s">
        <v>97</v>
      </c>
      <c r="I218" s="3" t="s">
        <v>38</v>
      </c>
      <c r="J218" s="3" t="s">
        <v>41</v>
      </c>
      <c r="K218" s="4">
        <v>45557</v>
      </c>
      <c r="L218" s="3">
        <v>12</v>
      </c>
      <c r="M218" s="3">
        <v>92355</v>
      </c>
      <c r="N218" s="3">
        <v>7613</v>
      </c>
      <c r="O218" s="3">
        <v>4</v>
      </c>
      <c r="P218" s="3" t="s">
        <v>42</v>
      </c>
      <c r="Q218" s="3" t="s">
        <v>31</v>
      </c>
      <c r="R218" s="3" t="s">
        <v>64</v>
      </c>
      <c r="S218" s="3" t="s">
        <v>723</v>
      </c>
      <c r="T218" s="3" t="s">
        <v>724</v>
      </c>
    </row>
    <row r="219" spans="1:20" x14ac:dyDescent="0.3">
      <c r="A219" s="3" t="s">
        <v>725</v>
      </c>
      <c r="B219" s="3" t="s">
        <v>79</v>
      </c>
      <c r="C219" s="3" t="s">
        <v>36</v>
      </c>
      <c r="D219" s="3" t="s">
        <v>86</v>
      </c>
      <c r="E219" s="3" t="s">
        <v>24</v>
      </c>
      <c r="F219" s="3" t="s">
        <v>38</v>
      </c>
      <c r="G219" s="3" t="s">
        <v>59</v>
      </c>
      <c r="H219" s="3" t="s">
        <v>40</v>
      </c>
      <c r="I219" s="3" t="s">
        <v>28</v>
      </c>
      <c r="J219" s="3" t="s">
        <v>41</v>
      </c>
      <c r="K219" s="4">
        <v>45228</v>
      </c>
      <c r="L219" s="3">
        <v>7</v>
      </c>
      <c r="M219" s="3">
        <v>84631</v>
      </c>
      <c r="N219" s="3">
        <v>11551</v>
      </c>
      <c r="O219" s="3">
        <v>3</v>
      </c>
      <c r="P219" s="3" t="s">
        <v>42</v>
      </c>
      <c r="Q219" s="3" t="s">
        <v>31</v>
      </c>
      <c r="R219" s="3" t="s">
        <v>32</v>
      </c>
      <c r="S219" s="3" t="s">
        <v>726</v>
      </c>
      <c r="T219" s="3" t="s">
        <v>727</v>
      </c>
    </row>
    <row r="220" spans="1:20" x14ac:dyDescent="0.3">
      <c r="A220" s="3" t="s">
        <v>728</v>
      </c>
      <c r="B220" s="3" t="s">
        <v>21</v>
      </c>
      <c r="C220" s="3" t="s">
        <v>56</v>
      </c>
      <c r="D220" s="3" t="s">
        <v>23</v>
      </c>
      <c r="E220" s="3" t="s">
        <v>37</v>
      </c>
      <c r="F220" s="3" t="s">
        <v>98</v>
      </c>
      <c r="G220" s="3" t="s">
        <v>81</v>
      </c>
      <c r="H220" s="3" t="s">
        <v>97</v>
      </c>
      <c r="I220" s="3" t="s">
        <v>98</v>
      </c>
      <c r="J220" s="3" t="s">
        <v>41</v>
      </c>
      <c r="K220" s="4">
        <v>44108</v>
      </c>
      <c r="L220" s="3">
        <v>0</v>
      </c>
      <c r="M220" s="3">
        <v>78512</v>
      </c>
      <c r="N220" s="3">
        <v>12789</v>
      </c>
      <c r="O220" s="3">
        <v>4.8</v>
      </c>
      <c r="P220" s="3" t="s">
        <v>30</v>
      </c>
      <c r="Q220" s="3" t="s">
        <v>31</v>
      </c>
      <c r="R220" s="3" t="s">
        <v>64</v>
      </c>
      <c r="S220" s="3" t="s">
        <v>729</v>
      </c>
      <c r="T220" s="3" t="s">
        <v>730</v>
      </c>
    </row>
    <row r="221" spans="1:20" x14ac:dyDescent="0.3">
      <c r="A221" s="3" t="s">
        <v>731</v>
      </c>
      <c r="B221" s="3" t="s">
        <v>171</v>
      </c>
      <c r="C221" s="3" t="s">
        <v>56</v>
      </c>
      <c r="D221" s="3" t="s">
        <v>86</v>
      </c>
      <c r="E221" s="3" t="s">
        <v>58</v>
      </c>
      <c r="F221" s="3" t="s">
        <v>38</v>
      </c>
      <c r="G221" s="3" t="s">
        <v>26</v>
      </c>
      <c r="H221" s="3" t="s">
        <v>40</v>
      </c>
      <c r="I221" s="3" t="s">
        <v>28</v>
      </c>
      <c r="J221" s="3" t="s">
        <v>41</v>
      </c>
      <c r="K221" s="4">
        <v>43912</v>
      </c>
      <c r="L221" s="3">
        <v>10</v>
      </c>
      <c r="M221" s="3">
        <v>26738</v>
      </c>
      <c r="N221" s="3">
        <v>6762</v>
      </c>
      <c r="O221" s="3">
        <v>4.0999999999999996</v>
      </c>
      <c r="P221" s="3" t="s">
        <v>30</v>
      </c>
      <c r="Q221" s="3" t="s">
        <v>43</v>
      </c>
      <c r="R221" s="3" t="s">
        <v>64</v>
      </c>
      <c r="S221" s="3" t="s">
        <v>732</v>
      </c>
      <c r="T221" s="3" t="s">
        <v>733</v>
      </c>
    </row>
    <row r="222" spans="1:20" x14ac:dyDescent="0.3">
      <c r="A222" s="3" t="s">
        <v>734</v>
      </c>
      <c r="B222" s="3" t="s">
        <v>55</v>
      </c>
      <c r="C222" s="3" t="s">
        <v>85</v>
      </c>
      <c r="D222" s="3" t="s">
        <v>23</v>
      </c>
      <c r="E222" s="3" t="s">
        <v>37</v>
      </c>
      <c r="F222" s="3" t="s">
        <v>38</v>
      </c>
      <c r="G222" s="3" t="s">
        <v>39</v>
      </c>
      <c r="H222" s="3" t="s">
        <v>27</v>
      </c>
      <c r="I222" s="3" t="s">
        <v>25</v>
      </c>
      <c r="J222" s="3" t="s">
        <v>29</v>
      </c>
      <c r="K222" s="4">
        <v>44498</v>
      </c>
      <c r="L222" s="3">
        <v>10</v>
      </c>
      <c r="M222" s="3">
        <v>49269</v>
      </c>
      <c r="N222" s="3">
        <v>14338</v>
      </c>
      <c r="O222" s="3">
        <v>4.2</v>
      </c>
      <c r="P222" s="3" t="s">
        <v>30</v>
      </c>
      <c r="Q222" s="3" t="s">
        <v>31</v>
      </c>
      <c r="R222" s="3" t="s">
        <v>64</v>
      </c>
      <c r="S222" s="3" t="s">
        <v>735</v>
      </c>
      <c r="T222" s="3" t="s">
        <v>736</v>
      </c>
    </row>
    <row r="223" spans="1:20" x14ac:dyDescent="0.3">
      <c r="A223" s="3" t="s">
        <v>737</v>
      </c>
      <c r="B223" s="3" t="s">
        <v>21</v>
      </c>
      <c r="C223" s="3" t="s">
        <v>22</v>
      </c>
      <c r="D223" s="3" t="s">
        <v>86</v>
      </c>
      <c r="E223" s="3" t="s">
        <v>24</v>
      </c>
      <c r="F223" s="3" t="s">
        <v>49</v>
      </c>
      <c r="G223" s="3" t="s">
        <v>81</v>
      </c>
      <c r="H223" s="3" t="s">
        <v>97</v>
      </c>
      <c r="I223" s="3" t="s">
        <v>98</v>
      </c>
      <c r="J223" s="3" t="s">
        <v>41</v>
      </c>
      <c r="K223" s="4">
        <v>43883</v>
      </c>
      <c r="L223" s="3">
        <v>2</v>
      </c>
      <c r="M223" s="3">
        <v>30130</v>
      </c>
      <c r="N223" s="3">
        <v>3555</v>
      </c>
      <c r="O223" s="3">
        <v>4.0999999999999996</v>
      </c>
      <c r="P223" s="3" t="s">
        <v>42</v>
      </c>
      <c r="Q223" s="3" t="s">
        <v>60</v>
      </c>
      <c r="R223" s="3" t="s">
        <v>51</v>
      </c>
      <c r="S223" s="3" t="s">
        <v>738</v>
      </c>
      <c r="T223" s="3" t="s">
        <v>739</v>
      </c>
    </row>
    <row r="224" spans="1:20" x14ac:dyDescent="0.3">
      <c r="A224" s="3" t="s">
        <v>740</v>
      </c>
      <c r="B224" s="3" t="s">
        <v>75</v>
      </c>
      <c r="C224" s="3" t="s">
        <v>102</v>
      </c>
      <c r="D224" s="3" t="s">
        <v>86</v>
      </c>
      <c r="E224" s="3" t="s">
        <v>37</v>
      </c>
      <c r="F224" s="3" t="s">
        <v>98</v>
      </c>
      <c r="G224" s="3" t="s">
        <v>81</v>
      </c>
      <c r="H224" s="3" t="s">
        <v>27</v>
      </c>
      <c r="I224" s="3" t="s">
        <v>49</v>
      </c>
      <c r="J224" s="3" t="s">
        <v>29</v>
      </c>
      <c r="K224" s="4">
        <v>43388</v>
      </c>
      <c r="L224" s="3">
        <v>15</v>
      </c>
      <c r="M224" s="3">
        <v>31965</v>
      </c>
      <c r="N224" s="3">
        <v>12335</v>
      </c>
      <c r="O224" s="3">
        <v>3.6</v>
      </c>
      <c r="P224" s="3" t="s">
        <v>30</v>
      </c>
      <c r="Q224" s="3" t="s">
        <v>31</v>
      </c>
      <c r="R224" s="3" t="s">
        <v>51</v>
      </c>
      <c r="S224" s="3" t="s">
        <v>741</v>
      </c>
      <c r="T224" s="3" t="s">
        <v>742</v>
      </c>
    </row>
    <row r="225" spans="1:20" x14ac:dyDescent="0.3">
      <c r="A225" s="3" t="s">
        <v>743</v>
      </c>
      <c r="B225" s="3" t="s">
        <v>143</v>
      </c>
      <c r="C225" s="3" t="s">
        <v>56</v>
      </c>
      <c r="D225" s="3" t="s">
        <v>86</v>
      </c>
      <c r="E225" s="3" t="s">
        <v>80</v>
      </c>
      <c r="F225" s="3" t="s">
        <v>49</v>
      </c>
      <c r="G225" s="3" t="s">
        <v>59</v>
      </c>
      <c r="H225" s="3" t="s">
        <v>97</v>
      </c>
      <c r="I225" s="3" t="s">
        <v>98</v>
      </c>
      <c r="J225" s="3" t="s">
        <v>29</v>
      </c>
      <c r="K225" s="4">
        <v>45352</v>
      </c>
      <c r="L225" s="3">
        <v>13</v>
      </c>
      <c r="M225" s="3">
        <v>84368</v>
      </c>
      <c r="N225" s="3">
        <v>9377</v>
      </c>
      <c r="O225" s="3">
        <v>4.9000000000000004</v>
      </c>
      <c r="P225" s="3" t="s">
        <v>42</v>
      </c>
      <c r="Q225" s="3" t="s">
        <v>60</v>
      </c>
      <c r="R225" s="3" t="s">
        <v>51</v>
      </c>
      <c r="S225" s="3" t="s">
        <v>744</v>
      </c>
      <c r="T225" s="3" t="s">
        <v>745</v>
      </c>
    </row>
    <row r="226" spans="1:20" x14ac:dyDescent="0.3">
      <c r="A226" s="3" t="s">
        <v>746</v>
      </c>
      <c r="B226" s="3" t="s">
        <v>90</v>
      </c>
      <c r="C226" s="3" t="s">
        <v>85</v>
      </c>
      <c r="D226" s="3" t="s">
        <v>4</v>
      </c>
      <c r="E226" s="3" t="s">
        <v>48</v>
      </c>
      <c r="F226" s="3" t="s">
        <v>49</v>
      </c>
      <c r="G226" s="3" t="s">
        <v>59</v>
      </c>
      <c r="H226" s="3" t="s">
        <v>27</v>
      </c>
      <c r="I226" s="3" t="s">
        <v>27</v>
      </c>
      <c r="J226" s="3" t="s">
        <v>41</v>
      </c>
      <c r="K226" s="4">
        <v>45578</v>
      </c>
      <c r="L226" s="3">
        <v>6</v>
      </c>
      <c r="M226" s="3">
        <v>54685</v>
      </c>
      <c r="N226" s="3">
        <v>8973</v>
      </c>
      <c r="O226" s="3">
        <v>4.7</v>
      </c>
      <c r="P226" s="3" t="s">
        <v>30</v>
      </c>
      <c r="Q226" s="3" t="s">
        <v>60</v>
      </c>
      <c r="R226" s="3" t="s">
        <v>64</v>
      </c>
      <c r="S226" s="3" t="s">
        <v>747</v>
      </c>
      <c r="T226" s="3" t="s">
        <v>748</v>
      </c>
    </row>
    <row r="227" spans="1:20" x14ac:dyDescent="0.3">
      <c r="A227" s="3" t="s">
        <v>749</v>
      </c>
      <c r="B227" s="3" t="s">
        <v>175</v>
      </c>
      <c r="C227" s="3" t="s">
        <v>22</v>
      </c>
      <c r="D227" s="3" t="s">
        <v>86</v>
      </c>
      <c r="E227" s="3" t="s">
        <v>48</v>
      </c>
      <c r="F227" s="3" t="s">
        <v>28</v>
      </c>
      <c r="G227" s="3" t="s">
        <v>59</v>
      </c>
      <c r="H227" s="3" t="s">
        <v>27</v>
      </c>
      <c r="I227" s="3" t="s">
        <v>25</v>
      </c>
      <c r="J227" s="3" t="s">
        <v>29</v>
      </c>
      <c r="K227" s="4">
        <v>43828</v>
      </c>
      <c r="L227" s="3">
        <v>10</v>
      </c>
      <c r="M227" s="3">
        <v>52180</v>
      </c>
      <c r="N227" s="3">
        <v>13609</v>
      </c>
      <c r="O227" s="3">
        <v>3.3</v>
      </c>
      <c r="P227" s="3" t="s">
        <v>42</v>
      </c>
      <c r="Q227" s="3" t="s">
        <v>60</v>
      </c>
      <c r="R227" s="3" t="s">
        <v>32</v>
      </c>
      <c r="S227" s="3" t="s">
        <v>750</v>
      </c>
      <c r="T227" s="3" t="s">
        <v>751</v>
      </c>
    </row>
    <row r="228" spans="1:20" x14ac:dyDescent="0.3">
      <c r="A228" s="3" t="s">
        <v>752</v>
      </c>
      <c r="B228" s="3" t="s">
        <v>79</v>
      </c>
      <c r="C228" s="3" t="s">
        <v>69</v>
      </c>
      <c r="D228" s="3" t="s">
        <v>57</v>
      </c>
      <c r="E228" s="3" t="s">
        <v>58</v>
      </c>
      <c r="F228" s="3" t="s">
        <v>49</v>
      </c>
      <c r="G228" s="3" t="s">
        <v>39</v>
      </c>
      <c r="H228" s="3" t="s">
        <v>71</v>
      </c>
      <c r="I228" s="3" t="s">
        <v>98</v>
      </c>
      <c r="J228" s="3" t="s">
        <v>41</v>
      </c>
      <c r="K228" s="4">
        <v>45558</v>
      </c>
      <c r="L228" s="3">
        <v>4</v>
      </c>
      <c r="M228" s="3">
        <v>81837</v>
      </c>
      <c r="N228" s="3">
        <v>13413</v>
      </c>
      <c r="O228" s="3">
        <v>4.0999999999999996</v>
      </c>
      <c r="P228" s="3" t="s">
        <v>30</v>
      </c>
      <c r="Q228" s="3" t="s">
        <v>43</v>
      </c>
      <c r="R228" s="3" t="s">
        <v>64</v>
      </c>
      <c r="S228" s="3" t="s">
        <v>753</v>
      </c>
      <c r="T228" s="3" t="s">
        <v>754</v>
      </c>
    </row>
    <row r="229" spans="1:20" x14ac:dyDescent="0.3">
      <c r="A229" s="3" t="s">
        <v>755</v>
      </c>
      <c r="B229" s="3" t="s">
        <v>203</v>
      </c>
      <c r="C229" s="3" t="s">
        <v>69</v>
      </c>
      <c r="D229" s="3" t="s">
        <v>70</v>
      </c>
      <c r="E229" s="3" t="s">
        <v>58</v>
      </c>
      <c r="F229" s="3" t="s">
        <v>38</v>
      </c>
      <c r="G229" s="3" t="s">
        <v>81</v>
      </c>
      <c r="H229" s="3" t="s">
        <v>27</v>
      </c>
      <c r="I229" s="3" t="s">
        <v>25</v>
      </c>
      <c r="J229" s="3" t="s">
        <v>29</v>
      </c>
      <c r="K229" s="4">
        <v>45223</v>
      </c>
      <c r="L229" s="3">
        <v>12</v>
      </c>
      <c r="M229" s="3">
        <v>53538</v>
      </c>
      <c r="N229" s="3">
        <v>5170</v>
      </c>
      <c r="O229" s="3">
        <v>3.4</v>
      </c>
      <c r="P229" s="3" t="s">
        <v>30</v>
      </c>
      <c r="Q229" s="3" t="s">
        <v>31</v>
      </c>
      <c r="R229" s="3" t="s">
        <v>64</v>
      </c>
      <c r="S229" s="3" t="s">
        <v>756</v>
      </c>
      <c r="T229" s="3" t="s">
        <v>757</v>
      </c>
    </row>
    <row r="230" spans="1:20" x14ac:dyDescent="0.3">
      <c r="A230" s="3" t="s">
        <v>758</v>
      </c>
      <c r="B230" s="3" t="s">
        <v>47</v>
      </c>
      <c r="C230" s="3" t="s">
        <v>85</v>
      </c>
      <c r="D230" s="3" t="s">
        <v>70</v>
      </c>
      <c r="E230" s="3" t="s">
        <v>24</v>
      </c>
      <c r="F230" s="3" t="s">
        <v>38</v>
      </c>
      <c r="G230" s="3" t="s">
        <v>26</v>
      </c>
      <c r="H230" s="3" t="s">
        <v>97</v>
      </c>
      <c r="I230" s="3" t="s">
        <v>98</v>
      </c>
      <c r="J230" s="3" t="s">
        <v>41</v>
      </c>
      <c r="K230" s="4">
        <v>44140</v>
      </c>
      <c r="L230" s="3">
        <v>13</v>
      </c>
      <c r="M230" s="3">
        <v>25843</v>
      </c>
      <c r="N230" s="3">
        <v>3282</v>
      </c>
      <c r="O230" s="3">
        <v>5</v>
      </c>
      <c r="P230" s="3" t="s">
        <v>42</v>
      </c>
      <c r="Q230" s="3" t="s">
        <v>60</v>
      </c>
      <c r="R230" s="3" t="s">
        <v>51</v>
      </c>
      <c r="S230" s="3" t="s">
        <v>759</v>
      </c>
      <c r="T230" s="3" t="s">
        <v>760</v>
      </c>
    </row>
    <row r="231" spans="1:20" x14ac:dyDescent="0.3">
      <c r="A231" s="3" t="s">
        <v>761</v>
      </c>
      <c r="B231" s="3" t="s">
        <v>35</v>
      </c>
      <c r="C231" s="3" t="s">
        <v>102</v>
      </c>
      <c r="D231" s="3" t="s">
        <v>70</v>
      </c>
      <c r="E231" s="3" t="s">
        <v>58</v>
      </c>
      <c r="F231" s="3" t="s">
        <v>38</v>
      </c>
      <c r="G231" s="3" t="s">
        <v>81</v>
      </c>
      <c r="H231" s="3" t="s">
        <v>50</v>
      </c>
      <c r="I231" s="3" t="s">
        <v>38</v>
      </c>
      <c r="J231" s="3" t="s">
        <v>41</v>
      </c>
      <c r="K231" s="4">
        <v>43523</v>
      </c>
      <c r="L231" s="3">
        <v>0</v>
      </c>
      <c r="M231" s="3">
        <v>80219</v>
      </c>
      <c r="N231" s="3">
        <v>9182</v>
      </c>
      <c r="O231" s="3">
        <v>4.5</v>
      </c>
      <c r="P231" s="3" t="s">
        <v>30</v>
      </c>
      <c r="Q231" s="3" t="s">
        <v>60</v>
      </c>
      <c r="R231" s="3" t="s">
        <v>64</v>
      </c>
      <c r="S231" s="3" t="s">
        <v>762</v>
      </c>
      <c r="T231" s="3" t="s">
        <v>763</v>
      </c>
    </row>
    <row r="232" spans="1:20" x14ac:dyDescent="0.3">
      <c r="A232" s="3" t="s">
        <v>764</v>
      </c>
      <c r="B232" s="3" t="s">
        <v>55</v>
      </c>
      <c r="C232" s="3" t="s">
        <v>36</v>
      </c>
      <c r="D232" s="3" t="s">
        <v>23</v>
      </c>
      <c r="E232" s="3" t="s">
        <v>58</v>
      </c>
      <c r="F232" s="3" t="s">
        <v>38</v>
      </c>
      <c r="G232" s="3" t="s">
        <v>26</v>
      </c>
      <c r="H232" s="3" t="s">
        <v>40</v>
      </c>
      <c r="I232" s="3" t="s">
        <v>49</v>
      </c>
      <c r="J232" s="3" t="s">
        <v>29</v>
      </c>
      <c r="K232" s="4">
        <v>45091</v>
      </c>
      <c r="L232" s="3">
        <v>5</v>
      </c>
      <c r="M232" s="3">
        <v>59901</v>
      </c>
      <c r="N232" s="3">
        <v>5719</v>
      </c>
      <c r="O232" s="3">
        <v>3.6</v>
      </c>
      <c r="P232" s="3" t="s">
        <v>42</v>
      </c>
      <c r="Q232" s="3" t="s">
        <v>31</v>
      </c>
      <c r="R232" s="3" t="s">
        <v>32</v>
      </c>
      <c r="S232" s="3" t="s">
        <v>765</v>
      </c>
      <c r="T232" s="3" t="s">
        <v>766</v>
      </c>
    </row>
    <row r="233" spans="1:20" x14ac:dyDescent="0.3">
      <c r="A233" s="3" t="s">
        <v>767</v>
      </c>
      <c r="B233" s="3" t="s">
        <v>35</v>
      </c>
      <c r="C233" s="3" t="s">
        <v>56</v>
      </c>
      <c r="D233" s="3" t="s">
        <v>57</v>
      </c>
      <c r="E233" s="3" t="s">
        <v>24</v>
      </c>
      <c r="F233" s="3" t="s">
        <v>49</v>
      </c>
      <c r="G233" s="3" t="s">
        <v>81</v>
      </c>
      <c r="H233" s="3" t="s">
        <v>50</v>
      </c>
      <c r="I233" s="3" t="s">
        <v>25</v>
      </c>
      <c r="J233" s="3" t="s">
        <v>29</v>
      </c>
      <c r="K233" s="4">
        <v>44773</v>
      </c>
      <c r="L233" s="3">
        <v>3</v>
      </c>
      <c r="M233" s="3">
        <v>78607</v>
      </c>
      <c r="N233" s="3">
        <v>5295</v>
      </c>
      <c r="O233" s="3">
        <v>5</v>
      </c>
      <c r="P233" s="3" t="s">
        <v>42</v>
      </c>
      <c r="Q233" s="3" t="s">
        <v>43</v>
      </c>
      <c r="R233" s="3" t="s">
        <v>51</v>
      </c>
      <c r="S233" s="3" t="s">
        <v>768</v>
      </c>
      <c r="T233" s="3" t="s">
        <v>769</v>
      </c>
    </row>
    <row r="234" spans="1:20" x14ac:dyDescent="0.3">
      <c r="A234" s="3" t="s">
        <v>770</v>
      </c>
      <c r="B234" s="3" t="s">
        <v>47</v>
      </c>
      <c r="C234" s="3" t="s">
        <v>56</v>
      </c>
      <c r="D234" s="3" t="s">
        <v>4</v>
      </c>
      <c r="E234" s="3" t="s">
        <v>24</v>
      </c>
      <c r="F234" s="3" t="s">
        <v>28</v>
      </c>
      <c r="G234" s="3" t="s">
        <v>81</v>
      </c>
      <c r="H234" s="3" t="s">
        <v>71</v>
      </c>
      <c r="I234" s="3" t="s">
        <v>98</v>
      </c>
      <c r="J234" s="3" t="s">
        <v>41</v>
      </c>
      <c r="K234" s="4">
        <v>45038</v>
      </c>
      <c r="L234" s="3">
        <v>12</v>
      </c>
      <c r="M234" s="3">
        <v>71244</v>
      </c>
      <c r="N234" s="3">
        <v>6052</v>
      </c>
      <c r="O234" s="3">
        <v>4.4000000000000004</v>
      </c>
      <c r="P234" s="3" t="s">
        <v>30</v>
      </c>
      <c r="Q234" s="3" t="s">
        <v>31</v>
      </c>
      <c r="R234" s="3" t="s">
        <v>51</v>
      </c>
      <c r="S234" s="3" t="s">
        <v>771</v>
      </c>
      <c r="T234" s="3" t="s">
        <v>772</v>
      </c>
    </row>
    <row r="235" spans="1:20" x14ac:dyDescent="0.3">
      <c r="A235" s="3" t="s">
        <v>773</v>
      </c>
      <c r="B235" s="3" t="s">
        <v>68</v>
      </c>
      <c r="C235" s="3" t="s">
        <v>56</v>
      </c>
      <c r="D235" s="3" t="s">
        <v>23</v>
      </c>
      <c r="E235" s="3" t="s">
        <v>58</v>
      </c>
      <c r="F235" s="3" t="s">
        <v>98</v>
      </c>
      <c r="G235" s="3" t="s">
        <v>26</v>
      </c>
      <c r="H235" s="3" t="s">
        <v>97</v>
      </c>
      <c r="I235" s="3" t="s">
        <v>28</v>
      </c>
      <c r="J235" s="3" t="s">
        <v>29</v>
      </c>
      <c r="K235" s="4">
        <v>44044</v>
      </c>
      <c r="L235" s="3">
        <v>12</v>
      </c>
      <c r="M235" s="3">
        <v>80302</v>
      </c>
      <c r="N235" s="3">
        <v>14556</v>
      </c>
      <c r="O235" s="3">
        <v>4</v>
      </c>
      <c r="P235" s="3" t="s">
        <v>42</v>
      </c>
      <c r="Q235" s="3" t="s">
        <v>43</v>
      </c>
      <c r="R235" s="3" t="s">
        <v>64</v>
      </c>
      <c r="S235" s="3" t="s">
        <v>774</v>
      </c>
      <c r="T235" s="3" t="s">
        <v>775</v>
      </c>
    </row>
    <row r="236" spans="1:20" x14ac:dyDescent="0.3">
      <c r="A236" s="3" t="s">
        <v>776</v>
      </c>
      <c r="B236" s="3" t="s">
        <v>75</v>
      </c>
      <c r="C236" s="3" t="s">
        <v>102</v>
      </c>
      <c r="D236" s="3" t="s">
        <v>70</v>
      </c>
      <c r="E236" s="3" t="s">
        <v>37</v>
      </c>
      <c r="F236" s="3" t="s">
        <v>49</v>
      </c>
      <c r="G236" s="3" t="s">
        <v>59</v>
      </c>
      <c r="H236" s="3" t="s">
        <v>71</v>
      </c>
      <c r="I236" s="3" t="s">
        <v>25</v>
      </c>
      <c r="J236" s="3" t="s">
        <v>41</v>
      </c>
      <c r="K236" s="4">
        <v>43742</v>
      </c>
      <c r="L236" s="3">
        <v>12</v>
      </c>
      <c r="M236" s="3">
        <v>67055</v>
      </c>
      <c r="N236" s="3">
        <v>7271</v>
      </c>
      <c r="O236" s="3">
        <v>3.5</v>
      </c>
      <c r="P236" s="3" t="s">
        <v>42</v>
      </c>
      <c r="Q236" s="3" t="s">
        <v>60</v>
      </c>
      <c r="R236" s="3" t="s">
        <v>51</v>
      </c>
      <c r="S236" s="3" t="s">
        <v>777</v>
      </c>
      <c r="T236" s="3" t="s">
        <v>778</v>
      </c>
    </row>
    <row r="237" spans="1:20" x14ac:dyDescent="0.3">
      <c r="A237" s="3" t="s">
        <v>779</v>
      </c>
      <c r="B237" s="3" t="s">
        <v>47</v>
      </c>
      <c r="C237" s="3" t="s">
        <v>56</v>
      </c>
      <c r="D237" s="3" t="s">
        <v>57</v>
      </c>
      <c r="E237" s="3" t="s">
        <v>48</v>
      </c>
      <c r="F237" s="3" t="s">
        <v>98</v>
      </c>
      <c r="G237" s="3" t="s">
        <v>59</v>
      </c>
      <c r="H237" s="3" t="s">
        <v>50</v>
      </c>
      <c r="I237" s="3" t="s">
        <v>27</v>
      </c>
      <c r="J237" s="3" t="s">
        <v>29</v>
      </c>
      <c r="K237" s="4">
        <v>43754</v>
      </c>
      <c r="L237" s="3">
        <v>14</v>
      </c>
      <c r="M237" s="3">
        <v>93675</v>
      </c>
      <c r="N237" s="3">
        <v>11109</v>
      </c>
      <c r="O237" s="3">
        <v>4.5999999999999996</v>
      </c>
      <c r="P237" s="3" t="s">
        <v>42</v>
      </c>
      <c r="Q237" s="3" t="s">
        <v>31</v>
      </c>
      <c r="R237" s="3" t="s">
        <v>51</v>
      </c>
      <c r="S237" s="3" t="s">
        <v>780</v>
      </c>
      <c r="T237" s="3" t="s">
        <v>781</v>
      </c>
    </row>
    <row r="238" spans="1:20" x14ac:dyDescent="0.3">
      <c r="A238" s="3" t="s">
        <v>782</v>
      </c>
      <c r="B238" s="3" t="s">
        <v>109</v>
      </c>
      <c r="C238" s="3" t="s">
        <v>85</v>
      </c>
      <c r="D238" s="3" t="s">
        <v>86</v>
      </c>
      <c r="E238" s="3" t="s">
        <v>48</v>
      </c>
      <c r="F238" s="3" t="s">
        <v>49</v>
      </c>
      <c r="G238" s="3" t="s">
        <v>81</v>
      </c>
      <c r="H238" s="3" t="s">
        <v>71</v>
      </c>
      <c r="I238" s="3" t="s">
        <v>28</v>
      </c>
      <c r="J238" s="3" t="s">
        <v>29</v>
      </c>
      <c r="K238" s="4">
        <v>43490</v>
      </c>
      <c r="L238" s="3">
        <v>1</v>
      </c>
      <c r="M238" s="3">
        <v>93875</v>
      </c>
      <c r="N238" s="3">
        <v>6647</v>
      </c>
      <c r="O238" s="3">
        <v>4.3</v>
      </c>
      <c r="P238" s="3" t="s">
        <v>30</v>
      </c>
      <c r="Q238" s="3" t="s">
        <v>43</v>
      </c>
      <c r="R238" s="3" t="s">
        <v>64</v>
      </c>
      <c r="S238" s="3" t="s">
        <v>783</v>
      </c>
      <c r="T238" s="3" t="s">
        <v>784</v>
      </c>
    </row>
    <row r="239" spans="1:20" x14ac:dyDescent="0.3">
      <c r="A239" s="3" t="s">
        <v>785</v>
      </c>
      <c r="B239" s="3" t="s">
        <v>35</v>
      </c>
      <c r="C239" s="3" t="s">
        <v>56</v>
      </c>
      <c r="D239" s="3" t="s">
        <v>23</v>
      </c>
      <c r="E239" s="3" t="s">
        <v>48</v>
      </c>
      <c r="F239" s="3" t="s">
        <v>49</v>
      </c>
      <c r="G239" s="3" t="s">
        <v>26</v>
      </c>
      <c r="H239" s="3" t="s">
        <v>50</v>
      </c>
      <c r="I239" s="3" t="s">
        <v>38</v>
      </c>
      <c r="J239" s="3" t="s">
        <v>29</v>
      </c>
      <c r="K239" s="4">
        <v>44139</v>
      </c>
      <c r="L239" s="3">
        <v>13</v>
      </c>
      <c r="M239" s="3">
        <v>74746</v>
      </c>
      <c r="N239" s="3">
        <v>5985</v>
      </c>
      <c r="O239" s="3">
        <v>3.5</v>
      </c>
      <c r="P239" s="3" t="s">
        <v>42</v>
      </c>
      <c r="Q239" s="3" t="s">
        <v>43</v>
      </c>
      <c r="R239" s="3" t="s">
        <v>64</v>
      </c>
      <c r="S239" s="3" t="s">
        <v>786</v>
      </c>
      <c r="T239" s="3" t="s">
        <v>787</v>
      </c>
    </row>
    <row r="240" spans="1:20" x14ac:dyDescent="0.3">
      <c r="A240" s="3" t="s">
        <v>788</v>
      </c>
      <c r="B240" s="3" t="s">
        <v>175</v>
      </c>
      <c r="C240" s="3" t="s">
        <v>22</v>
      </c>
      <c r="D240" s="3" t="s">
        <v>70</v>
      </c>
      <c r="E240" s="3" t="s">
        <v>80</v>
      </c>
      <c r="F240" s="3" t="s">
        <v>25</v>
      </c>
      <c r="G240" s="3" t="s">
        <v>26</v>
      </c>
      <c r="H240" s="3" t="s">
        <v>27</v>
      </c>
      <c r="I240" s="3" t="s">
        <v>25</v>
      </c>
      <c r="J240" s="3" t="s">
        <v>29</v>
      </c>
      <c r="K240" s="4">
        <v>44210</v>
      </c>
      <c r="L240" s="3">
        <v>6</v>
      </c>
      <c r="M240" s="3">
        <v>52931</v>
      </c>
      <c r="N240" s="3">
        <v>12993</v>
      </c>
      <c r="O240" s="3">
        <v>4.9000000000000004</v>
      </c>
      <c r="P240" s="3" t="s">
        <v>30</v>
      </c>
      <c r="Q240" s="3" t="s">
        <v>31</v>
      </c>
      <c r="R240" s="3" t="s">
        <v>64</v>
      </c>
      <c r="S240" s="3" t="s">
        <v>789</v>
      </c>
      <c r="T240" s="3" t="s">
        <v>790</v>
      </c>
    </row>
    <row r="241" spans="1:20" x14ac:dyDescent="0.3">
      <c r="A241" s="3" t="s">
        <v>791</v>
      </c>
      <c r="B241" s="3" t="s">
        <v>175</v>
      </c>
      <c r="C241" s="3" t="s">
        <v>36</v>
      </c>
      <c r="D241" s="3" t="s">
        <v>4</v>
      </c>
      <c r="E241" s="3" t="s">
        <v>24</v>
      </c>
      <c r="F241" s="3" t="s">
        <v>49</v>
      </c>
      <c r="G241" s="3" t="s">
        <v>39</v>
      </c>
      <c r="H241" s="3" t="s">
        <v>50</v>
      </c>
      <c r="I241" s="3" t="s">
        <v>49</v>
      </c>
      <c r="J241" s="3" t="s">
        <v>29</v>
      </c>
      <c r="K241" s="4">
        <v>43118</v>
      </c>
      <c r="L241" s="3">
        <v>11</v>
      </c>
      <c r="M241" s="3">
        <v>48436</v>
      </c>
      <c r="N241" s="3">
        <v>4502</v>
      </c>
      <c r="O241" s="3">
        <v>3.6</v>
      </c>
      <c r="P241" s="3" t="s">
        <v>30</v>
      </c>
      <c r="Q241" s="3" t="s">
        <v>31</v>
      </c>
      <c r="R241" s="3" t="s">
        <v>51</v>
      </c>
      <c r="S241" s="3" t="s">
        <v>792</v>
      </c>
      <c r="T241" s="3" t="s">
        <v>793</v>
      </c>
    </row>
    <row r="242" spans="1:20" x14ac:dyDescent="0.3">
      <c r="A242" s="3" t="s">
        <v>794</v>
      </c>
      <c r="B242" s="3" t="s">
        <v>21</v>
      </c>
      <c r="C242" s="3" t="s">
        <v>69</v>
      </c>
      <c r="D242" s="3" t="s">
        <v>57</v>
      </c>
      <c r="E242" s="3" t="s">
        <v>58</v>
      </c>
      <c r="F242" s="3" t="s">
        <v>38</v>
      </c>
      <c r="G242" s="3" t="s">
        <v>59</v>
      </c>
      <c r="H242" s="3" t="s">
        <v>50</v>
      </c>
      <c r="I242" s="3" t="s">
        <v>98</v>
      </c>
      <c r="J242" s="3" t="s">
        <v>41</v>
      </c>
      <c r="K242" s="4">
        <v>45031</v>
      </c>
      <c r="L242" s="3">
        <v>5</v>
      </c>
      <c r="M242" s="3">
        <v>63295</v>
      </c>
      <c r="N242" s="3">
        <v>3757</v>
      </c>
      <c r="O242" s="3">
        <v>3.6</v>
      </c>
      <c r="P242" s="3" t="s">
        <v>42</v>
      </c>
      <c r="Q242" s="3" t="s">
        <v>43</v>
      </c>
      <c r="R242" s="3" t="s">
        <v>64</v>
      </c>
      <c r="S242" s="3" t="s">
        <v>795</v>
      </c>
      <c r="T242" s="3" t="s">
        <v>796</v>
      </c>
    </row>
    <row r="243" spans="1:20" x14ac:dyDescent="0.3">
      <c r="A243" s="3" t="s">
        <v>797</v>
      </c>
      <c r="B243" s="3" t="s">
        <v>21</v>
      </c>
      <c r="C243" s="3" t="s">
        <v>56</v>
      </c>
      <c r="D243" s="3" t="s">
        <v>4</v>
      </c>
      <c r="E243" s="3" t="s">
        <v>24</v>
      </c>
      <c r="F243" s="3" t="s">
        <v>49</v>
      </c>
      <c r="G243" s="3" t="s">
        <v>26</v>
      </c>
      <c r="H243" s="3" t="s">
        <v>27</v>
      </c>
      <c r="I243" s="3" t="s">
        <v>28</v>
      </c>
      <c r="J243" s="3" t="s">
        <v>29</v>
      </c>
      <c r="K243" s="4">
        <v>45163</v>
      </c>
      <c r="L243" s="3">
        <v>14</v>
      </c>
      <c r="M243" s="3">
        <v>68370</v>
      </c>
      <c r="N243" s="3">
        <v>14971</v>
      </c>
      <c r="O243" s="3">
        <v>4.7</v>
      </c>
      <c r="P243" s="3" t="s">
        <v>30</v>
      </c>
      <c r="Q243" s="3" t="s">
        <v>31</v>
      </c>
      <c r="R243" s="3" t="s">
        <v>64</v>
      </c>
      <c r="S243" s="3" t="s">
        <v>798</v>
      </c>
      <c r="T243" s="3" t="s">
        <v>799</v>
      </c>
    </row>
    <row r="244" spans="1:20" x14ac:dyDescent="0.3">
      <c r="A244" s="3" t="s">
        <v>800</v>
      </c>
      <c r="B244" s="3" t="s">
        <v>79</v>
      </c>
      <c r="C244" s="3" t="s">
        <v>102</v>
      </c>
      <c r="D244" s="3" t="s">
        <v>4</v>
      </c>
      <c r="E244" s="3" t="s">
        <v>24</v>
      </c>
      <c r="F244" s="3" t="s">
        <v>98</v>
      </c>
      <c r="G244" s="3" t="s">
        <v>26</v>
      </c>
      <c r="H244" s="3" t="s">
        <v>27</v>
      </c>
      <c r="I244" s="3" t="s">
        <v>25</v>
      </c>
      <c r="J244" s="3" t="s">
        <v>41</v>
      </c>
      <c r="K244" s="4">
        <v>43996</v>
      </c>
      <c r="L244" s="3">
        <v>1</v>
      </c>
      <c r="M244" s="3">
        <v>67748</v>
      </c>
      <c r="N244" s="3">
        <v>10103</v>
      </c>
      <c r="O244" s="3">
        <v>4.9000000000000004</v>
      </c>
      <c r="P244" s="3" t="s">
        <v>30</v>
      </c>
      <c r="Q244" s="3" t="s">
        <v>43</v>
      </c>
      <c r="R244" s="3" t="s">
        <v>32</v>
      </c>
      <c r="S244" s="3" t="s">
        <v>801</v>
      </c>
      <c r="T244" s="3" t="s">
        <v>802</v>
      </c>
    </row>
    <row r="245" spans="1:20" x14ac:dyDescent="0.3">
      <c r="A245" s="3" t="s">
        <v>803</v>
      </c>
      <c r="B245" s="3" t="s">
        <v>143</v>
      </c>
      <c r="C245" s="3" t="s">
        <v>36</v>
      </c>
      <c r="D245" s="3" t="s">
        <v>4</v>
      </c>
      <c r="E245" s="3" t="s">
        <v>80</v>
      </c>
      <c r="F245" s="3" t="s">
        <v>49</v>
      </c>
      <c r="G245" s="3" t="s">
        <v>59</v>
      </c>
      <c r="H245" s="3" t="s">
        <v>40</v>
      </c>
      <c r="I245" s="3" t="s">
        <v>98</v>
      </c>
      <c r="J245" s="3" t="s">
        <v>41</v>
      </c>
      <c r="K245" s="4">
        <v>43347</v>
      </c>
      <c r="L245" s="3">
        <v>6</v>
      </c>
      <c r="M245" s="3">
        <v>33544</v>
      </c>
      <c r="N245" s="3">
        <v>11465</v>
      </c>
      <c r="O245" s="3">
        <v>4</v>
      </c>
      <c r="P245" s="3" t="s">
        <v>30</v>
      </c>
      <c r="Q245" s="3" t="s">
        <v>43</v>
      </c>
      <c r="R245" s="3" t="s">
        <v>64</v>
      </c>
      <c r="S245" s="3" t="s">
        <v>804</v>
      </c>
      <c r="T245" s="3" t="s">
        <v>805</v>
      </c>
    </row>
    <row r="246" spans="1:20" x14ac:dyDescent="0.3">
      <c r="A246" s="3" t="s">
        <v>806</v>
      </c>
      <c r="B246" s="3" t="s">
        <v>175</v>
      </c>
      <c r="C246" s="3" t="s">
        <v>22</v>
      </c>
      <c r="D246" s="3" t="s">
        <v>4</v>
      </c>
      <c r="E246" s="3" t="s">
        <v>58</v>
      </c>
      <c r="F246" s="3" t="s">
        <v>28</v>
      </c>
      <c r="G246" s="3" t="s">
        <v>39</v>
      </c>
      <c r="H246" s="3" t="s">
        <v>71</v>
      </c>
      <c r="I246" s="3" t="s">
        <v>27</v>
      </c>
      <c r="J246" s="3" t="s">
        <v>29</v>
      </c>
      <c r="K246" s="4">
        <v>43911</v>
      </c>
      <c r="L246" s="3">
        <v>3</v>
      </c>
      <c r="M246" s="3">
        <v>91069</v>
      </c>
      <c r="N246" s="3">
        <v>9807</v>
      </c>
      <c r="O246" s="3">
        <v>3.8</v>
      </c>
      <c r="P246" s="3" t="s">
        <v>42</v>
      </c>
      <c r="Q246" s="3" t="s">
        <v>60</v>
      </c>
      <c r="R246" s="3" t="s">
        <v>32</v>
      </c>
      <c r="S246" s="3" t="s">
        <v>807</v>
      </c>
      <c r="T246" s="3" t="s">
        <v>808</v>
      </c>
    </row>
    <row r="247" spans="1:20" x14ac:dyDescent="0.3">
      <c r="A247" s="3" t="s">
        <v>809</v>
      </c>
      <c r="B247" s="3" t="s">
        <v>79</v>
      </c>
      <c r="C247" s="3" t="s">
        <v>102</v>
      </c>
      <c r="D247" s="3" t="s">
        <v>23</v>
      </c>
      <c r="E247" s="3" t="s">
        <v>58</v>
      </c>
      <c r="F247" s="3" t="s">
        <v>27</v>
      </c>
      <c r="G247" s="3" t="s">
        <v>26</v>
      </c>
      <c r="H247" s="3" t="s">
        <v>50</v>
      </c>
      <c r="I247" s="3" t="s">
        <v>98</v>
      </c>
      <c r="J247" s="3" t="s">
        <v>29</v>
      </c>
      <c r="K247" s="4">
        <v>44307</v>
      </c>
      <c r="L247" s="3">
        <v>4</v>
      </c>
      <c r="M247" s="3">
        <v>41464</v>
      </c>
      <c r="N247" s="3">
        <v>6259</v>
      </c>
      <c r="O247" s="3">
        <v>3.5</v>
      </c>
      <c r="P247" s="3" t="s">
        <v>42</v>
      </c>
      <c r="Q247" s="3" t="s">
        <v>60</v>
      </c>
      <c r="R247" s="3" t="s">
        <v>32</v>
      </c>
      <c r="S247" s="3" t="s">
        <v>810</v>
      </c>
      <c r="T247" s="3" t="s">
        <v>811</v>
      </c>
    </row>
    <row r="248" spans="1:20" x14ac:dyDescent="0.3">
      <c r="A248" s="3" t="s">
        <v>812</v>
      </c>
      <c r="B248" s="3" t="s">
        <v>109</v>
      </c>
      <c r="C248" s="3" t="s">
        <v>22</v>
      </c>
      <c r="D248" s="3" t="s">
        <v>86</v>
      </c>
      <c r="E248" s="3" t="s">
        <v>58</v>
      </c>
      <c r="F248" s="3" t="s">
        <v>38</v>
      </c>
      <c r="G248" s="3" t="s">
        <v>59</v>
      </c>
      <c r="H248" s="3" t="s">
        <v>50</v>
      </c>
      <c r="I248" s="3" t="s">
        <v>25</v>
      </c>
      <c r="J248" s="3" t="s">
        <v>29</v>
      </c>
      <c r="K248" s="4">
        <v>44583</v>
      </c>
      <c r="L248" s="3">
        <v>3</v>
      </c>
      <c r="M248" s="3">
        <v>32121</v>
      </c>
      <c r="N248" s="3">
        <v>10596</v>
      </c>
      <c r="O248" s="3">
        <v>5</v>
      </c>
      <c r="P248" s="3" t="s">
        <v>30</v>
      </c>
      <c r="Q248" s="3" t="s">
        <v>60</v>
      </c>
      <c r="R248" s="3" t="s">
        <v>32</v>
      </c>
      <c r="S248" s="3" t="s">
        <v>813</v>
      </c>
      <c r="T248" s="3" t="s">
        <v>814</v>
      </c>
    </row>
    <row r="249" spans="1:20" x14ac:dyDescent="0.3">
      <c r="A249" s="3" t="s">
        <v>815</v>
      </c>
      <c r="B249" s="3" t="s">
        <v>109</v>
      </c>
      <c r="C249" s="3" t="s">
        <v>22</v>
      </c>
      <c r="D249" s="3" t="s">
        <v>4</v>
      </c>
      <c r="E249" s="3" t="s">
        <v>80</v>
      </c>
      <c r="F249" s="3" t="s">
        <v>27</v>
      </c>
      <c r="G249" s="3" t="s">
        <v>81</v>
      </c>
      <c r="H249" s="3" t="s">
        <v>71</v>
      </c>
      <c r="I249" s="3" t="s">
        <v>98</v>
      </c>
      <c r="J249" s="3" t="s">
        <v>29</v>
      </c>
      <c r="K249" s="4">
        <v>44917</v>
      </c>
      <c r="L249" s="3">
        <v>14</v>
      </c>
      <c r="M249" s="3">
        <v>50016</v>
      </c>
      <c r="N249" s="3">
        <v>3766</v>
      </c>
      <c r="O249" s="3">
        <v>3.9</v>
      </c>
      <c r="P249" s="3" t="s">
        <v>30</v>
      </c>
      <c r="Q249" s="3" t="s">
        <v>31</v>
      </c>
      <c r="R249" s="3" t="s">
        <v>51</v>
      </c>
      <c r="S249" s="3" t="s">
        <v>816</v>
      </c>
      <c r="T249" s="3" t="s">
        <v>817</v>
      </c>
    </row>
    <row r="250" spans="1:20" x14ac:dyDescent="0.3">
      <c r="A250" s="3" t="s">
        <v>818</v>
      </c>
      <c r="B250" s="3" t="s">
        <v>136</v>
      </c>
      <c r="C250" s="3" t="s">
        <v>22</v>
      </c>
      <c r="D250" s="3" t="s">
        <v>70</v>
      </c>
      <c r="E250" s="3" t="s">
        <v>37</v>
      </c>
      <c r="F250" s="3" t="s">
        <v>25</v>
      </c>
      <c r="G250" s="3" t="s">
        <v>81</v>
      </c>
      <c r="H250" s="3" t="s">
        <v>27</v>
      </c>
      <c r="I250" s="3" t="s">
        <v>49</v>
      </c>
      <c r="J250" s="3" t="s">
        <v>29</v>
      </c>
      <c r="K250" s="4">
        <v>44989</v>
      </c>
      <c r="L250" s="3">
        <v>7</v>
      </c>
      <c r="M250" s="3">
        <v>42218</v>
      </c>
      <c r="N250" s="3">
        <v>12694</v>
      </c>
      <c r="O250" s="3">
        <v>3.9</v>
      </c>
      <c r="P250" s="3" t="s">
        <v>30</v>
      </c>
      <c r="Q250" s="3" t="s">
        <v>31</v>
      </c>
      <c r="R250" s="3" t="s">
        <v>51</v>
      </c>
      <c r="S250" s="3" t="s">
        <v>819</v>
      </c>
      <c r="T250" s="3" t="s">
        <v>820</v>
      </c>
    </row>
    <row r="251" spans="1:20" x14ac:dyDescent="0.3">
      <c r="A251" s="3" t="s">
        <v>821</v>
      </c>
      <c r="B251" s="3" t="s">
        <v>90</v>
      </c>
      <c r="C251" s="3" t="s">
        <v>69</v>
      </c>
      <c r="D251" s="3" t="s">
        <v>4</v>
      </c>
      <c r="E251" s="3" t="s">
        <v>24</v>
      </c>
      <c r="F251" s="3" t="s">
        <v>38</v>
      </c>
      <c r="G251" s="3" t="s">
        <v>39</v>
      </c>
      <c r="H251" s="3" t="s">
        <v>50</v>
      </c>
      <c r="I251" s="3" t="s">
        <v>27</v>
      </c>
      <c r="J251" s="3" t="s">
        <v>41</v>
      </c>
      <c r="K251" s="4">
        <v>43981</v>
      </c>
      <c r="L251" s="3">
        <v>11</v>
      </c>
      <c r="M251" s="3">
        <v>89552</v>
      </c>
      <c r="N251" s="3">
        <v>13971</v>
      </c>
      <c r="O251" s="3">
        <v>4.0999999999999996</v>
      </c>
      <c r="P251" s="3" t="s">
        <v>42</v>
      </c>
      <c r="Q251" s="3" t="s">
        <v>31</v>
      </c>
      <c r="R251" s="3" t="s">
        <v>51</v>
      </c>
      <c r="S251" s="3" t="s">
        <v>822</v>
      </c>
      <c r="T251" s="3" t="s">
        <v>823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1"/>
  <sheetViews>
    <sheetView zoomScaleNormal="100" workbookViewId="0">
      <pane ySplit="1" topLeftCell="A8" activePane="bottomLeft" state="frozen"/>
      <selection pane="bottomLeft"/>
    </sheetView>
  </sheetViews>
  <sheetFormatPr defaultColWidth="8.6640625" defaultRowHeight="14.4" x14ac:dyDescent="0.3"/>
  <cols>
    <col min="1" max="18" width="14" customWidth="1"/>
  </cols>
  <sheetData>
    <row r="1" spans="1:18" ht="27.6" x14ac:dyDescent="0.3">
      <c r="A1" s="2" t="s">
        <v>824</v>
      </c>
      <c r="B1" s="2" t="s">
        <v>825</v>
      </c>
      <c r="C1" s="2" t="s">
        <v>826</v>
      </c>
      <c r="D1" s="2" t="s">
        <v>827</v>
      </c>
      <c r="E1" s="2" t="s">
        <v>828</v>
      </c>
      <c r="F1" s="2" t="s">
        <v>829</v>
      </c>
      <c r="G1" s="2" t="s">
        <v>6</v>
      </c>
      <c r="H1" s="2" t="s">
        <v>5</v>
      </c>
      <c r="I1" s="2" t="s">
        <v>830</v>
      </c>
      <c r="J1" s="2" t="s">
        <v>831</v>
      </c>
      <c r="K1" s="2" t="s">
        <v>832</v>
      </c>
      <c r="L1" s="2" t="s">
        <v>833</v>
      </c>
      <c r="M1" s="2" t="s">
        <v>834</v>
      </c>
      <c r="N1" s="2" t="s">
        <v>835</v>
      </c>
      <c r="O1" s="2" t="s">
        <v>836</v>
      </c>
      <c r="P1" s="2" t="s">
        <v>837</v>
      </c>
      <c r="Q1" s="2" t="s">
        <v>838</v>
      </c>
      <c r="R1" s="2" t="s">
        <v>839</v>
      </c>
    </row>
    <row r="2" spans="1:18" x14ac:dyDescent="0.3">
      <c r="A2" s="3" t="s">
        <v>840</v>
      </c>
      <c r="B2" s="3" t="s">
        <v>841</v>
      </c>
      <c r="C2" s="3" t="s">
        <v>842</v>
      </c>
      <c r="D2" s="3" t="s">
        <v>843</v>
      </c>
      <c r="E2" s="3" t="s">
        <v>844</v>
      </c>
      <c r="F2" s="3" t="s">
        <v>136</v>
      </c>
      <c r="G2" s="3" t="s">
        <v>81</v>
      </c>
      <c r="H2" s="3" t="s">
        <v>49</v>
      </c>
      <c r="I2" s="3">
        <v>9</v>
      </c>
      <c r="J2" s="3">
        <v>24443</v>
      </c>
      <c r="K2" s="3">
        <v>219987</v>
      </c>
      <c r="L2" s="3">
        <v>160128</v>
      </c>
      <c r="M2" s="3">
        <v>59859</v>
      </c>
      <c r="N2" s="3">
        <v>11</v>
      </c>
      <c r="O2" s="3" t="s">
        <v>845</v>
      </c>
      <c r="P2" s="3" t="s">
        <v>846</v>
      </c>
      <c r="Q2" s="3">
        <v>4.4000000000000004</v>
      </c>
      <c r="R2" s="3" t="s">
        <v>847</v>
      </c>
    </row>
    <row r="3" spans="1:18" x14ac:dyDescent="0.3">
      <c r="A3" s="3" t="s">
        <v>848</v>
      </c>
      <c r="B3" s="3" t="s">
        <v>849</v>
      </c>
      <c r="C3" s="3" t="s">
        <v>850</v>
      </c>
      <c r="D3" s="3" t="s">
        <v>851</v>
      </c>
      <c r="E3" s="3" t="s">
        <v>844</v>
      </c>
      <c r="F3" s="3" t="s">
        <v>55</v>
      </c>
      <c r="G3" s="3" t="s">
        <v>26</v>
      </c>
      <c r="H3" s="3" t="s">
        <v>25</v>
      </c>
      <c r="I3" s="3">
        <v>12</v>
      </c>
      <c r="J3" s="3">
        <v>54471</v>
      </c>
      <c r="K3" s="3">
        <v>653652</v>
      </c>
      <c r="L3" s="3">
        <v>505020</v>
      </c>
      <c r="M3" s="3">
        <v>148632</v>
      </c>
      <c r="N3" s="3">
        <v>10</v>
      </c>
      <c r="O3" s="3" t="s">
        <v>845</v>
      </c>
      <c r="P3" s="3" t="s">
        <v>846</v>
      </c>
      <c r="Q3" s="3">
        <v>3.4</v>
      </c>
      <c r="R3" s="3" t="s">
        <v>847</v>
      </c>
    </row>
    <row r="4" spans="1:18" x14ac:dyDescent="0.3">
      <c r="A4" s="3" t="s">
        <v>852</v>
      </c>
      <c r="B4" s="3" t="s">
        <v>853</v>
      </c>
      <c r="C4" s="3" t="s">
        <v>850</v>
      </c>
      <c r="D4" s="3" t="s">
        <v>851</v>
      </c>
      <c r="E4" s="3" t="s">
        <v>844</v>
      </c>
      <c r="F4" s="3" t="s">
        <v>75</v>
      </c>
      <c r="G4" s="3" t="s">
        <v>26</v>
      </c>
      <c r="H4" s="3" t="s">
        <v>25</v>
      </c>
      <c r="I4" s="3">
        <v>15</v>
      </c>
      <c r="J4" s="3">
        <v>54348</v>
      </c>
      <c r="K4" s="3">
        <v>815220</v>
      </c>
      <c r="L4" s="3">
        <v>638850</v>
      </c>
      <c r="M4" s="3">
        <v>176370</v>
      </c>
      <c r="N4" s="3">
        <v>13</v>
      </c>
      <c r="O4" s="3" t="s">
        <v>854</v>
      </c>
      <c r="P4" s="3" t="s">
        <v>855</v>
      </c>
      <c r="Q4" s="3">
        <v>4.5999999999999996</v>
      </c>
      <c r="R4" s="3" t="s">
        <v>847</v>
      </c>
    </row>
    <row r="5" spans="1:18" x14ac:dyDescent="0.3">
      <c r="A5" s="3" t="s">
        <v>856</v>
      </c>
      <c r="B5" s="3" t="s">
        <v>857</v>
      </c>
      <c r="C5" s="3" t="s">
        <v>842</v>
      </c>
      <c r="D5" s="3" t="s">
        <v>843</v>
      </c>
      <c r="E5" s="3" t="s">
        <v>844</v>
      </c>
      <c r="F5" s="3" t="s">
        <v>75</v>
      </c>
      <c r="G5" s="3" t="s">
        <v>59</v>
      </c>
      <c r="H5" s="3" t="s">
        <v>27</v>
      </c>
      <c r="I5" s="3">
        <v>8</v>
      </c>
      <c r="J5" s="3">
        <v>24494</v>
      </c>
      <c r="K5" s="3">
        <v>195952</v>
      </c>
      <c r="L5" s="3">
        <v>138696</v>
      </c>
      <c r="M5" s="3">
        <v>57256</v>
      </c>
      <c r="N5" s="3">
        <v>4</v>
      </c>
      <c r="O5" s="3" t="s">
        <v>845</v>
      </c>
      <c r="P5" s="3" t="s">
        <v>858</v>
      </c>
      <c r="Q5" s="3">
        <v>4.7</v>
      </c>
      <c r="R5" s="3" t="s">
        <v>847</v>
      </c>
    </row>
    <row r="6" spans="1:18" x14ac:dyDescent="0.3">
      <c r="A6" s="3" t="s">
        <v>859</v>
      </c>
      <c r="B6" s="3" t="s">
        <v>841</v>
      </c>
      <c r="C6" s="3" t="s">
        <v>850</v>
      </c>
      <c r="D6" s="3" t="s">
        <v>851</v>
      </c>
      <c r="E6" s="3" t="s">
        <v>844</v>
      </c>
      <c r="F6" s="3" t="s">
        <v>143</v>
      </c>
      <c r="G6" s="3" t="s">
        <v>39</v>
      </c>
      <c r="H6" s="3" t="s">
        <v>27</v>
      </c>
      <c r="I6" s="3">
        <v>14</v>
      </c>
      <c r="J6" s="3">
        <v>56410</v>
      </c>
      <c r="K6" s="3">
        <v>789740</v>
      </c>
      <c r="L6" s="3">
        <v>595392</v>
      </c>
      <c r="M6" s="3">
        <v>194348</v>
      </c>
      <c r="N6" s="3">
        <v>11</v>
      </c>
      <c r="O6" s="3" t="s">
        <v>845</v>
      </c>
      <c r="P6" s="3" t="s">
        <v>855</v>
      </c>
      <c r="Q6" s="3">
        <v>4.5999999999999996</v>
      </c>
      <c r="R6" s="3" t="s">
        <v>847</v>
      </c>
    </row>
    <row r="7" spans="1:18" x14ac:dyDescent="0.3">
      <c r="A7" s="3" t="s">
        <v>860</v>
      </c>
      <c r="B7" s="3" t="s">
        <v>841</v>
      </c>
      <c r="C7" s="3" t="s">
        <v>842</v>
      </c>
      <c r="D7" s="3" t="s">
        <v>843</v>
      </c>
      <c r="E7" s="3" t="s">
        <v>844</v>
      </c>
      <c r="F7" s="3" t="s">
        <v>136</v>
      </c>
      <c r="G7" s="3" t="s">
        <v>59</v>
      </c>
      <c r="H7" s="3" t="s">
        <v>38</v>
      </c>
      <c r="I7" s="3">
        <v>13</v>
      </c>
      <c r="J7" s="3">
        <v>26391</v>
      </c>
      <c r="K7" s="3">
        <v>343083</v>
      </c>
      <c r="L7" s="3">
        <v>240097</v>
      </c>
      <c r="M7" s="3">
        <v>102986</v>
      </c>
      <c r="N7" s="3">
        <v>4</v>
      </c>
      <c r="O7" s="3" t="s">
        <v>854</v>
      </c>
      <c r="P7" s="3" t="s">
        <v>855</v>
      </c>
      <c r="Q7" s="3">
        <v>4</v>
      </c>
      <c r="R7" s="3" t="s">
        <v>861</v>
      </c>
    </row>
    <row r="8" spans="1:18" x14ac:dyDescent="0.3">
      <c r="A8" s="3" t="s">
        <v>862</v>
      </c>
      <c r="B8" s="3" t="s">
        <v>853</v>
      </c>
      <c r="C8" s="3" t="s">
        <v>863</v>
      </c>
      <c r="D8" s="3" t="s">
        <v>864</v>
      </c>
      <c r="E8" s="3" t="s">
        <v>844</v>
      </c>
      <c r="F8" s="3" t="s">
        <v>143</v>
      </c>
      <c r="G8" s="3" t="s">
        <v>26</v>
      </c>
      <c r="H8" s="3" t="s">
        <v>28</v>
      </c>
      <c r="I8" s="3">
        <v>2</v>
      </c>
      <c r="J8" s="3">
        <v>12279</v>
      </c>
      <c r="K8" s="3">
        <v>24558</v>
      </c>
      <c r="L8" s="3">
        <v>18094</v>
      </c>
      <c r="M8" s="3">
        <v>6464</v>
      </c>
      <c r="N8" s="3">
        <v>19</v>
      </c>
      <c r="O8" s="3" t="s">
        <v>865</v>
      </c>
      <c r="P8" s="3" t="s">
        <v>866</v>
      </c>
      <c r="Q8" s="3">
        <v>4.8</v>
      </c>
      <c r="R8" s="3" t="s">
        <v>847</v>
      </c>
    </row>
    <row r="9" spans="1:18" x14ac:dyDescent="0.3">
      <c r="A9" s="3" t="s">
        <v>867</v>
      </c>
      <c r="B9" s="3" t="s">
        <v>868</v>
      </c>
      <c r="C9" s="3" t="s">
        <v>842</v>
      </c>
      <c r="D9" s="3" t="s">
        <v>843</v>
      </c>
      <c r="E9" s="3" t="s">
        <v>844</v>
      </c>
      <c r="F9" s="3" t="s">
        <v>125</v>
      </c>
      <c r="G9" s="3" t="s">
        <v>26</v>
      </c>
      <c r="H9" s="3" t="s">
        <v>28</v>
      </c>
      <c r="I9" s="3">
        <v>6</v>
      </c>
      <c r="J9" s="3">
        <v>25757</v>
      </c>
      <c r="K9" s="3">
        <v>154542</v>
      </c>
      <c r="L9" s="3">
        <v>109446</v>
      </c>
      <c r="M9" s="3">
        <v>45096</v>
      </c>
      <c r="N9" s="3">
        <v>10</v>
      </c>
      <c r="O9" s="3" t="s">
        <v>845</v>
      </c>
      <c r="P9" s="3" t="s">
        <v>855</v>
      </c>
      <c r="Q9" s="3">
        <v>4</v>
      </c>
      <c r="R9" s="3" t="s">
        <v>847</v>
      </c>
    </row>
    <row r="10" spans="1:18" x14ac:dyDescent="0.3">
      <c r="A10" s="3" t="s">
        <v>869</v>
      </c>
      <c r="B10" s="3" t="s">
        <v>868</v>
      </c>
      <c r="C10" s="3" t="s">
        <v>870</v>
      </c>
      <c r="D10" s="3" t="s">
        <v>871</v>
      </c>
      <c r="E10" s="3" t="s">
        <v>872</v>
      </c>
      <c r="F10" s="3" t="s">
        <v>136</v>
      </c>
      <c r="G10" s="3" t="s">
        <v>59</v>
      </c>
      <c r="H10" s="3" t="s">
        <v>38</v>
      </c>
      <c r="I10" s="3">
        <v>3</v>
      </c>
      <c r="J10" s="3">
        <v>4502</v>
      </c>
      <c r="K10" s="3">
        <v>13506</v>
      </c>
      <c r="L10" s="3">
        <v>9927</v>
      </c>
      <c r="M10" s="3">
        <v>3579</v>
      </c>
      <c r="N10" s="3">
        <v>14</v>
      </c>
      <c r="O10" s="3" t="s">
        <v>854</v>
      </c>
      <c r="P10" s="3" t="s">
        <v>858</v>
      </c>
      <c r="Q10" s="3">
        <v>5</v>
      </c>
      <c r="R10" s="3" t="s">
        <v>847</v>
      </c>
    </row>
    <row r="11" spans="1:18" x14ac:dyDescent="0.3">
      <c r="A11" s="3" t="s">
        <v>873</v>
      </c>
      <c r="B11" s="3" t="s">
        <v>874</v>
      </c>
      <c r="C11" s="3" t="s">
        <v>863</v>
      </c>
      <c r="D11" s="3" t="s">
        <v>864</v>
      </c>
      <c r="E11" s="3" t="s">
        <v>844</v>
      </c>
      <c r="F11" s="3" t="s">
        <v>125</v>
      </c>
      <c r="G11" s="3" t="s">
        <v>81</v>
      </c>
      <c r="H11" s="3" t="s">
        <v>98</v>
      </c>
      <c r="I11" s="3">
        <v>9</v>
      </c>
      <c r="J11" s="3">
        <v>13346</v>
      </c>
      <c r="K11" s="3">
        <v>120114</v>
      </c>
      <c r="L11" s="3">
        <v>81621</v>
      </c>
      <c r="M11" s="3">
        <v>38493</v>
      </c>
      <c r="N11" s="3">
        <v>16</v>
      </c>
      <c r="O11" s="3" t="s">
        <v>875</v>
      </c>
      <c r="P11" s="3" t="s">
        <v>866</v>
      </c>
      <c r="Q11" s="3">
        <v>3.6</v>
      </c>
      <c r="R11" s="3" t="s">
        <v>861</v>
      </c>
    </row>
    <row r="12" spans="1:18" x14ac:dyDescent="0.3">
      <c r="A12" s="3" t="s">
        <v>876</v>
      </c>
      <c r="B12" s="3" t="s">
        <v>841</v>
      </c>
      <c r="C12" s="3" t="s">
        <v>877</v>
      </c>
      <c r="D12" s="3" t="s">
        <v>878</v>
      </c>
      <c r="E12" s="3" t="s">
        <v>844</v>
      </c>
      <c r="F12" s="3" t="s">
        <v>55</v>
      </c>
      <c r="G12" s="3" t="s">
        <v>26</v>
      </c>
      <c r="H12" s="3" t="s">
        <v>28</v>
      </c>
      <c r="I12" s="3">
        <v>4</v>
      </c>
      <c r="J12" s="3">
        <v>18998</v>
      </c>
      <c r="K12" s="3">
        <v>75992</v>
      </c>
      <c r="L12" s="3">
        <v>49920</v>
      </c>
      <c r="M12" s="3">
        <v>26072</v>
      </c>
      <c r="N12" s="3">
        <v>18</v>
      </c>
      <c r="O12" s="3" t="s">
        <v>845</v>
      </c>
      <c r="P12" s="3" t="s">
        <v>855</v>
      </c>
      <c r="Q12" s="3">
        <v>4.3</v>
      </c>
      <c r="R12" s="3" t="s">
        <v>847</v>
      </c>
    </row>
    <row r="13" spans="1:18" x14ac:dyDescent="0.3">
      <c r="A13" s="3" t="s">
        <v>879</v>
      </c>
      <c r="B13" s="3" t="s">
        <v>857</v>
      </c>
      <c r="C13" s="3" t="s">
        <v>842</v>
      </c>
      <c r="D13" s="3" t="s">
        <v>843</v>
      </c>
      <c r="E13" s="3" t="s">
        <v>844</v>
      </c>
      <c r="F13" s="3" t="s">
        <v>79</v>
      </c>
      <c r="G13" s="3" t="s">
        <v>39</v>
      </c>
      <c r="H13" s="3" t="s">
        <v>27</v>
      </c>
      <c r="I13" s="3">
        <v>12</v>
      </c>
      <c r="J13" s="3">
        <v>24068</v>
      </c>
      <c r="K13" s="3">
        <v>288816</v>
      </c>
      <c r="L13" s="3">
        <v>209076</v>
      </c>
      <c r="M13" s="3">
        <v>79740</v>
      </c>
      <c r="N13" s="3">
        <v>17</v>
      </c>
      <c r="O13" s="3" t="s">
        <v>854</v>
      </c>
      <c r="P13" s="3" t="s">
        <v>846</v>
      </c>
      <c r="Q13" s="3">
        <v>3.6</v>
      </c>
      <c r="R13" s="3" t="s">
        <v>847</v>
      </c>
    </row>
    <row r="14" spans="1:18" x14ac:dyDescent="0.3">
      <c r="A14" s="3" t="s">
        <v>880</v>
      </c>
      <c r="B14" s="3" t="s">
        <v>853</v>
      </c>
      <c r="C14" s="3" t="s">
        <v>850</v>
      </c>
      <c r="D14" s="3" t="s">
        <v>851</v>
      </c>
      <c r="E14" s="3" t="s">
        <v>844</v>
      </c>
      <c r="F14" s="3" t="s">
        <v>125</v>
      </c>
      <c r="G14" s="3" t="s">
        <v>26</v>
      </c>
      <c r="H14" s="3" t="s">
        <v>38</v>
      </c>
      <c r="I14" s="3">
        <v>7</v>
      </c>
      <c r="J14" s="3">
        <v>54062</v>
      </c>
      <c r="K14" s="3">
        <v>378434</v>
      </c>
      <c r="L14" s="3">
        <v>292397</v>
      </c>
      <c r="M14" s="3">
        <v>86037</v>
      </c>
      <c r="N14" s="3">
        <v>14</v>
      </c>
      <c r="O14" s="3" t="s">
        <v>845</v>
      </c>
      <c r="P14" s="3" t="s">
        <v>846</v>
      </c>
      <c r="Q14" s="3">
        <v>4.7</v>
      </c>
      <c r="R14" s="3" t="s">
        <v>847</v>
      </c>
    </row>
    <row r="15" spans="1:18" x14ac:dyDescent="0.3">
      <c r="A15" s="3" t="s">
        <v>881</v>
      </c>
      <c r="B15" s="3" t="s">
        <v>857</v>
      </c>
      <c r="C15" s="3" t="s">
        <v>877</v>
      </c>
      <c r="D15" s="3" t="s">
        <v>878</v>
      </c>
      <c r="E15" s="3" t="s">
        <v>844</v>
      </c>
      <c r="F15" s="3" t="s">
        <v>75</v>
      </c>
      <c r="G15" s="3" t="s">
        <v>26</v>
      </c>
      <c r="H15" s="3" t="s">
        <v>98</v>
      </c>
      <c r="I15" s="3">
        <v>1</v>
      </c>
      <c r="J15" s="3">
        <v>18542</v>
      </c>
      <c r="K15" s="3">
        <v>18542</v>
      </c>
      <c r="L15" s="3">
        <v>12866</v>
      </c>
      <c r="M15" s="3">
        <v>5676</v>
      </c>
      <c r="N15" s="3">
        <v>12</v>
      </c>
      <c r="O15" s="3" t="s">
        <v>845</v>
      </c>
      <c r="P15" s="3" t="s">
        <v>858</v>
      </c>
      <c r="Q15" s="3">
        <v>3.4</v>
      </c>
      <c r="R15" s="3" t="s">
        <v>847</v>
      </c>
    </row>
    <row r="16" spans="1:18" x14ac:dyDescent="0.3">
      <c r="A16" s="3" t="s">
        <v>882</v>
      </c>
      <c r="B16" s="3" t="s">
        <v>857</v>
      </c>
      <c r="C16" s="3" t="s">
        <v>842</v>
      </c>
      <c r="D16" s="3" t="s">
        <v>843</v>
      </c>
      <c r="E16" s="3" t="s">
        <v>844</v>
      </c>
      <c r="F16" s="3" t="s">
        <v>143</v>
      </c>
      <c r="G16" s="3" t="s">
        <v>59</v>
      </c>
      <c r="H16" s="3" t="s">
        <v>49</v>
      </c>
      <c r="I16" s="3">
        <v>15</v>
      </c>
      <c r="J16" s="3">
        <v>25840</v>
      </c>
      <c r="K16" s="3">
        <v>387600</v>
      </c>
      <c r="L16" s="3">
        <v>275250</v>
      </c>
      <c r="M16" s="3">
        <v>112350</v>
      </c>
      <c r="N16" s="3">
        <v>8</v>
      </c>
      <c r="O16" s="3" t="s">
        <v>854</v>
      </c>
      <c r="P16" s="3" t="s">
        <v>866</v>
      </c>
      <c r="Q16" s="3">
        <v>3.5</v>
      </c>
      <c r="R16" s="3" t="s">
        <v>861</v>
      </c>
    </row>
    <row r="17" spans="1:18" x14ac:dyDescent="0.3">
      <c r="A17" s="3" t="s">
        <v>883</v>
      </c>
      <c r="B17" s="3" t="s">
        <v>884</v>
      </c>
      <c r="C17" s="3" t="s">
        <v>877</v>
      </c>
      <c r="D17" s="3" t="s">
        <v>878</v>
      </c>
      <c r="E17" s="3" t="s">
        <v>844</v>
      </c>
      <c r="F17" s="3" t="s">
        <v>136</v>
      </c>
      <c r="G17" s="3" t="s">
        <v>81</v>
      </c>
      <c r="H17" s="3" t="s">
        <v>49</v>
      </c>
      <c r="I17" s="3">
        <v>3</v>
      </c>
      <c r="J17" s="3">
        <v>19220</v>
      </c>
      <c r="K17" s="3">
        <v>57660</v>
      </c>
      <c r="L17" s="3">
        <v>37533</v>
      </c>
      <c r="M17" s="3">
        <v>20127</v>
      </c>
      <c r="N17" s="3">
        <v>8</v>
      </c>
      <c r="O17" s="3" t="s">
        <v>865</v>
      </c>
      <c r="P17" s="3" t="s">
        <v>846</v>
      </c>
      <c r="Q17" s="3">
        <v>3.7</v>
      </c>
      <c r="R17" s="3" t="s">
        <v>847</v>
      </c>
    </row>
    <row r="18" spans="1:18" x14ac:dyDescent="0.3">
      <c r="A18" s="3" t="s">
        <v>885</v>
      </c>
      <c r="B18" s="3" t="s">
        <v>886</v>
      </c>
      <c r="C18" s="3" t="s">
        <v>877</v>
      </c>
      <c r="D18" s="3" t="s">
        <v>878</v>
      </c>
      <c r="E18" s="3" t="s">
        <v>844</v>
      </c>
      <c r="F18" s="3" t="s">
        <v>68</v>
      </c>
      <c r="G18" s="3" t="s">
        <v>59</v>
      </c>
      <c r="H18" s="3" t="s">
        <v>49</v>
      </c>
      <c r="I18" s="3">
        <v>2</v>
      </c>
      <c r="J18" s="3">
        <v>17360</v>
      </c>
      <c r="K18" s="3">
        <v>34720</v>
      </c>
      <c r="L18" s="3">
        <v>25816</v>
      </c>
      <c r="M18" s="3">
        <v>8904</v>
      </c>
      <c r="N18" s="3">
        <v>12</v>
      </c>
      <c r="O18" s="3" t="s">
        <v>854</v>
      </c>
      <c r="P18" s="3" t="s">
        <v>858</v>
      </c>
      <c r="Q18" s="3">
        <v>3</v>
      </c>
      <c r="R18" s="3" t="s">
        <v>861</v>
      </c>
    </row>
    <row r="19" spans="1:18" x14ac:dyDescent="0.3">
      <c r="A19" s="3" t="s">
        <v>887</v>
      </c>
      <c r="B19" s="3" t="s">
        <v>888</v>
      </c>
      <c r="C19" s="3" t="s">
        <v>889</v>
      </c>
      <c r="D19" s="3" t="s">
        <v>890</v>
      </c>
      <c r="E19" s="3" t="s">
        <v>872</v>
      </c>
      <c r="F19" s="3" t="s">
        <v>68</v>
      </c>
      <c r="G19" s="3" t="s">
        <v>39</v>
      </c>
      <c r="H19" s="3" t="s">
        <v>28</v>
      </c>
      <c r="I19" s="3">
        <v>2</v>
      </c>
      <c r="J19" s="3">
        <v>11004</v>
      </c>
      <c r="K19" s="3">
        <v>22008</v>
      </c>
      <c r="L19" s="3">
        <v>13196</v>
      </c>
      <c r="M19" s="3">
        <v>8812</v>
      </c>
      <c r="N19" s="3">
        <v>3</v>
      </c>
      <c r="O19" s="3" t="s">
        <v>865</v>
      </c>
      <c r="P19" s="3" t="s">
        <v>866</v>
      </c>
      <c r="Q19" s="3">
        <v>4.0999999999999996</v>
      </c>
      <c r="R19" s="3" t="s">
        <v>861</v>
      </c>
    </row>
    <row r="20" spans="1:18" x14ac:dyDescent="0.3">
      <c r="A20" s="3" t="s">
        <v>891</v>
      </c>
      <c r="B20" s="3" t="s">
        <v>849</v>
      </c>
      <c r="C20" s="3" t="s">
        <v>842</v>
      </c>
      <c r="D20" s="3" t="s">
        <v>843</v>
      </c>
      <c r="E20" s="3" t="s">
        <v>844</v>
      </c>
      <c r="F20" s="3" t="s">
        <v>143</v>
      </c>
      <c r="G20" s="3" t="s">
        <v>26</v>
      </c>
      <c r="H20" s="3" t="s">
        <v>25</v>
      </c>
      <c r="I20" s="3">
        <v>6</v>
      </c>
      <c r="J20" s="3">
        <v>25438</v>
      </c>
      <c r="K20" s="3">
        <v>152628</v>
      </c>
      <c r="L20" s="3">
        <v>108810</v>
      </c>
      <c r="M20" s="3">
        <v>43818</v>
      </c>
      <c r="N20" s="3">
        <v>4</v>
      </c>
      <c r="O20" s="3" t="s">
        <v>875</v>
      </c>
      <c r="P20" s="3" t="s">
        <v>858</v>
      </c>
      <c r="Q20" s="3">
        <v>3.8</v>
      </c>
      <c r="R20" s="3" t="s">
        <v>861</v>
      </c>
    </row>
    <row r="21" spans="1:18" x14ac:dyDescent="0.3">
      <c r="A21" s="3" t="s">
        <v>892</v>
      </c>
      <c r="B21" s="3" t="s">
        <v>853</v>
      </c>
      <c r="C21" s="3" t="s">
        <v>870</v>
      </c>
      <c r="D21" s="3" t="s">
        <v>871</v>
      </c>
      <c r="E21" s="3" t="s">
        <v>872</v>
      </c>
      <c r="F21" s="3" t="s">
        <v>79</v>
      </c>
      <c r="G21" s="3" t="s">
        <v>39</v>
      </c>
      <c r="H21" s="3" t="s">
        <v>49</v>
      </c>
      <c r="I21" s="3">
        <v>9</v>
      </c>
      <c r="J21" s="3">
        <v>5605</v>
      </c>
      <c r="K21" s="3">
        <v>50445</v>
      </c>
      <c r="L21" s="3">
        <v>34668</v>
      </c>
      <c r="M21" s="3">
        <v>15777</v>
      </c>
      <c r="N21" s="3">
        <v>7</v>
      </c>
      <c r="O21" s="3" t="s">
        <v>865</v>
      </c>
      <c r="P21" s="3" t="s">
        <v>858</v>
      </c>
      <c r="Q21" s="3">
        <v>3.4</v>
      </c>
      <c r="R21" s="3" t="s">
        <v>861</v>
      </c>
    </row>
    <row r="22" spans="1:18" x14ac:dyDescent="0.3">
      <c r="A22" s="3" t="s">
        <v>893</v>
      </c>
      <c r="B22" s="3" t="s">
        <v>857</v>
      </c>
      <c r="C22" s="3" t="s">
        <v>850</v>
      </c>
      <c r="D22" s="3" t="s">
        <v>851</v>
      </c>
      <c r="E22" s="3" t="s">
        <v>844</v>
      </c>
      <c r="F22" s="3" t="s">
        <v>79</v>
      </c>
      <c r="G22" s="3" t="s">
        <v>59</v>
      </c>
      <c r="H22" s="3" t="s">
        <v>28</v>
      </c>
      <c r="I22" s="3">
        <v>13</v>
      </c>
      <c r="J22" s="3">
        <v>54728</v>
      </c>
      <c r="K22" s="3">
        <v>711464</v>
      </c>
      <c r="L22" s="3">
        <v>540683</v>
      </c>
      <c r="M22" s="3">
        <v>170781</v>
      </c>
      <c r="N22" s="3">
        <v>17</v>
      </c>
      <c r="O22" s="3" t="s">
        <v>865</v>
      </c>
      <c r="P22" s="3" t="s">
        <v>846</v>
      </c>
      <c r="Q22" s="3">
        <v>4.7</v>
      </c>
      <c r="R22" s="3" t="s">
        <v>847</v>
      </c>
    </row>
    <row r="23" spans="1:18" x14ac:dyDescent="0.3">
      <c r="A23" s="3" t="s">
        <v>894</v>
      </c>
      <c r="B23" s="3" t="s">
        <v>853</v>
      </c>
      <c r="C23" s="3" t="s">
        <v>842</v>
      </c>
      <c r="D23" s="3" t="s">
        <v>843</v>
      </c>
      <c r="E23" s="3" t="s">
        <v>844</v>
      </c>
      <c r="F23" s="3" t="s">
        <v>68</v>
      </c>
      <c r="G23" s="3" t="s">
        <v>81</v>
      </c>
      <c r="H23" s="3" t="s">
        <v>49</v>
      </c>
      <c r="I23" s="3">
        <v>14</v>
      </c>
      <c r="J23" s="3">
        <v>26093</v>
      </c>
      <c r="K23" s="3">
        <v>365302</v>
      </c>
      <c r="L23" s="3">
        <v>242956</v>
      </c>
      <c r="M23" s="3">
        <v>122346</v>
      </c>
      <c r="N23" s="3">
        <v>4</v>
      </c>
      <c r="O23" s="3" t="s">
        <v>865</v>
      </c>
      <c r="P23" s="3" t="s">
        <v>846</v>
      </c>
      <c r="Q23" s="3">
        <v>4.3</v>
      </c>
      <c r="R23" s="3" t="s">
        <v>847</v>
      </c>
    </row>
    <row r="24" spans="1:18" x14ac:dyDescent="0.3">
      <c r="A24" s="3" t="s">
        <v>895</v>
      </c>
      <c r="B24" s="3" t="s">
        <v>886</v>
      </c>
      <c r="C24" s="3" t="s">
        <v>842</v>
      </c>
      <c r="D24" s="3" t="s">
        <v>843</v>
      </c>
      <c r="E24" s="3" t="s">
        <v>844</v>
      </c>
      <c r="F24" s="3" t="s">
        <v>143</v>
      </c>
      <c r="G24" s="3" t="s">
        <v>59</v>
      </c>
      <c r="H24" s="3" t="s">
        <v>25</v>
      </c>
      <c r="I24" s="3">
        <v>4</v>
      </c>
      <c r="J24" s="3">
        <v>24345</v>
      </c>
      <c r="K24" s="3">
        <v>97380</v>
      </c>
      <c r="L24" s="3">
        <v>71280</v>
      </c>
      <c r="M24" s="3">
        <v>26100</v>
      </c>
      <c r="N24" s="3">
        <v>15</v>
      </c>
      <c r="O24" s="3" t="s">
        <v>865</v>
      </c>
      <c r="P24" s="3" t="s">
        <v>846</v>
      </c>
      <c r="Q24" s="3">
        <v>3.6</v>
      </c>
      <c r="R24" s="3" t="s">
        <v>847</v>
      </c>
    </row>
    <row r="25" spans="1:18" x14ac:dyDescent="0.3">
      <c r="A25" s="3" t="s">
        <v>896</v>
      </c>
      <c r="B25" s="3" t="s">
        <v>897</v>
      </c>
      <c r="C25" s="3" t="s">
        <v>877</v>
      </c>
      <c r="D25" s="3" t="s">
        <v>878</v>
      </c>
      <c r="E25" s="3" t="s">
        <v>844</v>
      </c>
      <c r="F25" s="3" t="s">
        <v>136</v>
      </c>
      <c r="G25" s="3" t="s">
        <v>39</v>
      </c>
      <c r="H25" s="3" t="s">
        <v>27</v>
      </c>
      <c r="I25" s="3">
        <v>14</v>
      </c>
      <c r="J25" s="3">
        <v>17026</v>
      </c>
      <c r="K25" s="3">
        <v>238364</v>
      </c>
      <c r="L25" s="3">
        <v>180950</v>
      </c>
      <c r="M25" s="3">
        <v>57414</v>
      </c>
      <c r="N25" s="3">
        <v>4</v>
      </c>
      <c r="O25" s="3" t="s">
        <v>865</v>
      </c>
      <c r="P25" s="3" t="s">
        <v>855</v>
      </c>
      <c r="Q25" s="3">
        <v>3.5</v>
      </c>
      <c r="R25" s="3" t="s">
        <v>847</v>
      </c>
    </row>
    <row r="26" spans="1:18" x14ac:dyDescent="0.3">
      <c r="A26" s="3" t="s">
        <v>898</v>
      </c>
      <c r="B26" s="3" t="s">
        <v>888</v>
      </c>
      <c r="C26" s="3" t="s">
        <v>870</v>
      </c>
      <c r="D26" s="3" t="s">
        <v>871</v>
      </c>
      <c r="E26" s="3" t="s">
        <v>872</v>
      </c>
      <c r="F26" s="3" t="s">
        <v>79</v>
      </c>
      <c r="G26" s="3" t="s">
        <v>59</v>
      </c>
      <c r="H26" s="3" t="s">
        <v>28</v>
      </c>
      <c r="I26" s="3">
        <v>9</v>
      </c>
      <c r="J26" s="3">
        <v>5381</v>
      </c>
      <c r="K26" s="3">
        <v>48429</v>
      </c>
      <c r="L26" s="3">
        <v>32562</v>
      </c>
      <c r="M26" s="3">
        <v>15867</v>
      </c>
      <c r="N26" s="3">
        <v>3</v>
      </c>
      <c r="O26" s="3" t="s">
        <v>854</v>
      </c>
      <c r="P26" s="3" t="s">
        <v>858</v>
      </c>
      <c r="Q26" s="3">
        <v>4.7</v>
      </c>
      <c r="R26" s="3" t="s">
        <v>847</v>
      </c>
    </row>
    <row r="27" spans="1:18" x14ac:dyDescent="0.3">
      <c r="A27" s="3" t="s">
        <v>899</v>
      </c>
      <c r="B27" s="3" t="s">
        <v>868</v>
      </c>
      <c r="C27" s="3" t="s">
        <v>850</v>
      </c>
      <c r="D27" s="3" t="s">
        <v>851</v>
      </c>
      <c r="E27" s="3" t="s">
        <v>844</v>
      </c>
      <c r="F27" s="3" t="s">
        <v>68</v>
      </c>
      <c r="G27" s="3" t="s">
        <v>59</v>
      </c>
      <c r="H27" s="3" t="s">
        <v>27</v>
      </c>
      <c r="I27" s="3">
        <v>14</v>
      </c>
      <c r="J27" s="3">
        <v>54586</v>
      </c>
      <c r="K27" s="3">
        <v>764204</v>
      </c>
      <c r="L27" s="3">
        <v>595350</v>
      </c>
      <c r="M27" s="3">
        <v>168854</v>
      </c>
      <c r="N27" s="3">
        <v>19</v>
      </c>
      <c r="O27" s="3" t="s">
        <v>875</v>
      </c>
      <c r="P27" s="3" t="s">
        <v>855</v>
      </c>
      <c r="Q27" s="3">
        <v>3.1</v>
      </c>
      <c r="R27" s="3" t="s">
        <v>861</v>
      </c>
    </row>
    <row r="28" spans="1:18" x14ac:dyDescent="0.3">
      <c r="A28" s="3" t="s">
        <v>900</v>
      </c>
      <c r="B28" s="3" t="s">
        <v>874</v>
      </c>
      <c r="C28" s="3" t="s">
        <v>889</v>
      </c>
      <c r="D28" s="3" t="s">
        <v>890</v>
      </c>
      <c r="E28" s="3" t="s">
        <v>872</v>
      </c>
      <c r="F28" s="3" t="s">
        <v>136</v>
      </c>
      <c r="G28" s="3" t="s">
        <v>26</v>
      </c>
      <c r="H28" s="3" t="s">
        <v>38</v>
      </c>
      <c r="I28" s="3">
        <v>6</v>
      </c>
      <c r="J28" s="3">
        <v>11461</v>
      </c>
      <c r="K28" s="3">
        <v>68766</v>
      </c>
      <c r="L28" s="3">
        <v>42174</v>
      </c>
      <c r="M28" s="3">
        <v>26592</v>
      </c>
      <c r="N28" s="3">
        <v>18</v>
      </c>
      <c r="O28" s="3" t="s">
        <v>875</v>
      </c>
      <c r="P28" s="3" t="s">
        <v>846</v>
      </c>
      <c r="Q28" s="3">
        <v>4.9000000000000004</v>
      </c>
      <c r="R28" s="3" t="s">
        <v>861</v>
      </c>
    </row>
    <row r="29" spans="1:18" x14ac:dyDescent="0.3">
      <c r="A29" s="3" t="s">
        <v>901</v>
      </c>
      <c r="B29" s="3" t="s">
        <v>849</v>
      </c>
      <c r="C29" s="3" t="s">
        <v>842</v>
      </c>
      <c r="D29" s="3" t="s">
        <v>843</v>
      </c>
      <c r="E29" s="3" t="s">
        <v>844</v>
      </c>
      <c r="F29" s="3" t="s">
        <v>75</v>
      </c>
      <c r="G29" s="3" t="s">
        <v>39</v>
      </c>
      <c r="H29" s="3" t="s">
        <v>25</v>
      </c>
      <c r="I29" s="3">
        <v>9</v>
      </c>
      <c r="J29" s="3">
        <v>25580</v>
      </c>
      <c r="K29" s="3">
        <v>230220</v>
      </c>
      <c r="L29" s="3">
        <v>162027</v>
      </c>
      <c r="M29" s="3">
        <v>68193</v>
      </c>
      <c r="N29" s="3">
        <v>15</v>
      </c>
      <c r="O29" s="3" t="s">
        <v>865</v>
      </c>
      <c r="P29" s="3" t="s">
        <v>846</v>
      </c>
      <c r="Q29" s="3">
        <v>3.4</v>
      </c>
      <c r="R29" s="3" t="s">
        <v>861</v>
      </c>
    </row>
    <row r="30" spans="1:18" x14ac:dyDescent="0.3">
      <c r="A30" s="3" t="s">
        <v>902</v>
      </c>
      <c r="B30" s="3" t="s">
        <v>853</v>
      </c>
      <c r="C30" s="3" t="s">
        <v>889</v>
      </c>
      <c r="D30" s="3" t="s">
        <v>890</v>
      </c>
      <c r="E30" s="3" t="s">
        <v>872</v>
      </c>
      <c r="F30" s="3" t="s">
        <v>136</v>
      </c>
      <c r="G30" s="3" t="s">
        <v>81</v>
      </c>
      <c r="H30" s="3" t="s">
        <v>49</v>
      </c>
      <c r="I30" s="3">
        <v>7</v>
      </c>
      <c r="J30" s="3">
        <v>11284</v>
      </c>
      <c r="K30" s="3">
        <v>78988</v>
      </c>
      <c r="L30" s="3">
        <v>45528</v>
      </c>
      <c r="M30" s="3">
        <v>33460</v>
      </c>
      <c r="N30" s="3">
        <v>16</v>
      </c>
      <c r="O30" s="3" t="s">
        <v>865</v>
      </c>
      <c r="P30" s="3" t="s">
        <v>846</v>
      </c>
      <c r="Q30" s="3">
        <v>3.9</v>
      </c>
      <c r="R30" s="3" t="s">
        <v>847</v>
      </c>
    </row>
    <row r="31" spans="1:18" x14ac:dyDescent="0.3">
      <c r="A31" s="3" t="s">
        <v>903</v>
      </c>
      <c r="B31" s="3" t="s">
        <v>853</v>
      </c>
      <c r="C31" s="3" t="s">
        <v>870</v>
      </c>
      <c r="D31" s="3" t="s">
        <v>871</v>
      </c>
      <c r="E31" s="3" t="s">
        <v>872</v>
      </c>
      <c r="F31" s="3" t="s">
        <v>68</v>
      </c>
      <c r="G31" s="3" t="s">
        <v>39</v>
      </c>
      <c r="H31" s="3" t="s">
        <v>28</v>
      </c>
      <c r="I31" s="3">
        <v>2</v>
      </c>
      <c r="J31" s="3">
        <v>6485</v>
      </c>
      <c r="K31" s="3">
        <v>12970</v>
      </c>
      <c r="L31" s="3">
        <v>6932</v>
      </c>
      <c r="M31" s="3">
        <v>6038</v>
      </c>
      <c r="N31" s="3">
        <v>3</v>
      </c>
      <c r="O31" s="3" t="s">
        <v>875</v>
      </c>
      <c r="P31" s="3" t="s">
        <v>866</v>
      </c>
      <c r="Q31" s="3">
        <v>4.9000000000000004</v>
      </c>
      <c r="R31" s="3" t="s">
        <v>861</v>
      </c>
    </row>
    <row r="32" spans="1:18" x14ac:dyDescent="0.3">
      <c r="A32" s="3" t="s">
        <v>904</v>
      </c>
      <c r="B32" s="3" t="s">
        <v>857</v>
      </c>
      <c r="C32" s="3" t="s">
        <v>877</v>
      </c>
      <c r="D32" s="3" t="s">
        <v>878</v>
      </c>
      <c r="E32" s="3" t="s">
        <v>844</v>
      </c>
      <c r="F32" s="3" t="s">
        <v>79</v>
      </c>
      <c r="G32" s="3" t="s">
        <v>39</v>
      </c>
      <c r="H32" s="3" t="s">
        <v>98</v>
      </c>
      <c r="I32" s="3">
        <v>5</v>
      </c>
      <c r="J32" s="3">
        <v>18906</v>
      </c>
      <c r="K32" s="3">
        <v>94530</v>
      </c>
      <c r="L32" s="3">
        <v>66495</v>
      </c>
      <c r="M32" s="3">
        <v>28035</v>
      </c>
      <c r="N32" s="3">
        <v>20</v>
      </c>
      <c r="O32" s="3" t="s">
        <v>854</v>
      </c>
      <c r="P32" s="3" t="s">
        <v>846</v>
      </c>
      <c r="Q32" s="3">
        <v>5</v>
      </c>
      <c r="R32" s="3" t="s">
        <v>861</v>
      </c>
    </row>
    <row r="33" spans="1:18" x14ac:dyDescent="0.3">
      <c r="A33" s="3" t="s">
        <v>905</v>
      </c>
      <c r="B33" s="3" t="s">
        <v>849</v>
      </c>
      <c r="C33" s="3" t="s">
        <v>870</v>
      </c>
      <c r="D33" s="3" t="s">
        <v>871</v>
      </c>
      <c r="E33" s="3" t="s">
        <v>872</v>
      </c>
      <c r="F33" s="3" t="s">
        <v>55</v>
      </c>
      <c r="G33" s="3" t="s">
        <v>26</v>
      </c>
      <c r="H33" s="3" t="s">
        <v>98</v>
      </c>
      <c r="I33" s="3">
        <v>14</v>
      </c>
      <c r="J33" s="3">
        <v>4666</v>
      </c>
      <c r="K33" s="3">
        <v>65324</v>
      </c>
      <c r="L33" s="3">
        <v>52598</v>
      </c>
      <c r="M33" s="3">
        <v>12726</v>
      </c>
      <c r="N33" s="3">
        <v>10</v>
      </c>
      <c r="O33" s="3" t="s">
        <v>854</v>
      </c>
      <c r="P33" s="3" t="s">
        <v>858</v>
      </c>
      <c r="Q33" s="3">
        <v>4.9000000000000004</v>
      </c>
      <c r="R33" s="3" t="s">
        <v>847</v>
      </c>
    </row>
    <row r="34" spans="1:18" x14ac:dyDescent="0.3">
      <c r="A34" s="3" t="s">
        <v>906</v>
      </c>
      <c r="B34" s="3" t="s">
        <v>907</v>
      </c>
      <c r="C34" s="3" t="s">
        <v>877</v>
      </c>
      <c r="D34" s="3" t="s">
        <v>878</v>
      </c>
      <c r="E34" s="3" t="s">
        <v>844</v>
      </c>
      <c r="F34" s="3" t="s">
        <v>143</v>
      </c>
      <c r="G34" s="3" t="s">
        <v>59</v>
      </c>
      <c r="H34" s="3" t="s">
        <v>98</v>
      </c>
      <c r="I34" s="3">
        <v>1</v>
      </c>
      <c r="J34" s="3">
        <v>17586</v>
      </c>
      <c r="K34" s="3">
        <v>17586</v>
      </c>
      <c r="L34" s="3">
        <v>12739</v>
      </c>
      <c r="M34" s="3">
        <v>4847</v>
      </c>
      <c r="N34" s="3">
        <v>0</v>
      </c>
      <c r="O34" s="3" t="s">
        <v>875</v>
      </c>
      <c r="P34" s="3" t="s">
        <v>858</v>
      </c>
      <c r="Q34" s="3">
        <v>4.2</v>
      </c>
      <c r="R34" s="3" t="s">
        <v>847</v>
      </c>
    </row>
    <row r="35" spans="1:18" x14ac:dyDescent="0.3">
      <c r="A35" s="3" t="s">
        <v>908</v>
      </c>
      <c r="B35" s="3" t="s">
        <v>841</v>
      </c>
      <c r="C35" s="3" t="s">
        <v>850</v>
      </c>
      <c r="D35" s="3" t="s">
        <v>851</v>
      </c>
      <c r="E35" s="3" t="s">
        <v>844</v>
      </c>
      <c r="F35" s="3" t="s">
        <v>75</v>
      </c>
      <c r="G35" s="3" t="s">
        <v>59</v>
      </c>
      <c r="H35" s="3" t="s">
        <v>27</v>
      </c>
      <c r="I35" s="3">
        <v>2</v>
      </c>
      <c r="J35" s="3">
        <v>55848</v>
      </c>
      <c r="K35" s="3">
        <v>111696</v>
      </c>
      <c r="L35" s="3">
        <v>84366</v>
      </c>
      <c r="M35" s="3">
        <v>27330</v>
      </c>
      <c r="N35" s="3">
        <v>8</v>
      </c>
      <c r="O35" s="3" t="s">
        <v>845</v>
      </c>
      <c r="P35" s="3" t="s">
        <v>855</v>
      </c>
      <c r="Q35" s="3">
        <v>3.4</v>
      </c>
      <c r="R35" s="3" t="s">
        <v>847</v>
      </c>
    </row>
    <row r="36" spans="1:18" x14ac:dyDescent="0.3">
      <c r="A36" s="3" t="s">
        <v>909</v>
      </c>
      <c r="B36" s="3" t="s">
        <v>897</v>
      </c>
      <c r="C36" s="3" t="s">
        <v>877</v>
      </c>
      <c r="D36" s="3" t="s">
        <v>878</v>
      </c>
      <c r="E36" s="3" t="s">
        <v>844</v>
      </c>
      <c r="F36" s="3" t="s">
        <v>125</v>
      </c>
      <c r="G36" s="3" t="s">
        <v>26</v>
      </c>
      <c r="H36" s="3" t="s">
        <v>38</v>
      </c>
      <c r="I36" s="3">
        <v>11</v>
      </c>
      <c r="J36" s="3">
        <v>17503</v>
      </c>
      <c r="K36" s="3">
        <v>192533</v>
      </c>
      <c r="L36" s="3">
        <v>140591</v>
      </c>
      <c r="M36" s="3">
        <v>51942</v>
      </c>
      <c r="N36" s="3">
        <v>14</v>
      </c>
      <c r="O36" s="3" t="s">
        <v>845</v>
      </c>
      <c r="P36" s="3" t="s">
        <v>855</v>
      </c>
      <c r="Q36" s="3">
        <v>5</v>
      </c>
      <c r="R36" s="3" t="s">
        <v>861</v>
      </c>
    </row>
    <row r="37" spans="1:18" x14ac:dyDescent="0.3">
      <c r="A37" s="3" t="s">
        <v>910</v>
      </c>
      <c r="B37" s="3" t="s">
        <v>868</v>
      </c>
      <c r="C37" s="3" t="s">
        <v>842</v>
      </c>
      <c r="D37" s="3" t="s">
        <v>843</v>
      </c>
      <c r="E37" s="3" t="s">
        <v>844</v>
      </c>
      <c r="F37" s="3" t="s">
        <v>55</v>
      </c>
      <c r="G37" s="3" t="s">
        <v>26</v>
      </c>
      <c r="H37" s="3" t="s">
        <v>98</v>
      </c>
      <c r="I37" s="3">
        <v>13</v>
      </c>
      <c r="J37" s="3">
        <v>25832</v>
      </c>
      <c r="K37" s="3">
        <v>335816</v>
      </c>
      <c r="L37" s="3">
        <v>230490</v>
      </c>
      <c r="M37" s="3">
        <v>105326</v>
      </c>
      <c r="N37" s="3">
        <v>1</v>
      </c>
      <c r="O37" s="3" t="s">
        <v>875</v>
      </c>
      <c r="P37" s="3" t="s">
        <v>846</v>
      </c>
      <c r="Q37" s="3">
        <v>4.5999999999999996</v>
      </c>
      <c r="R37" s="3" t="s">
        <v>847</v>
      </c>
    </row>
    <row r="38" spans="1:18" x14ac:dyDescent="0.3">
      <c r="A38" s="3" t="s">
        <v>911</v>
      </c>
      <c r="B38" s="3" t="s">
        <v>849</v>
      </c>
      <c r="C38" s="3" t="s">
        <v>842</v>
      </c>
      <c r="D38" s="3" t="s">
        <v>843</v>
      </c>
      <c r="E38" s="3" t="s">
        <v>844</v>
      </c>
      <c r="F38" s="3" t="s">
        <v>68</v>
      </c>
      <c r="G38" s="3" t="s">
        <v>26</v>
      </c>
      <c r="H38" s="3" t="s">
        <v>25</v>
      </c>
      <c r="I38" s="3">
        <v>10</v>
      </c>
      <c r="J38" s="3">
        <v>25242</v>
      </c>
      <c r="K38" s="3">
        <v>252420</v>
      </c>
      <c r="L38" s="3">
        <v>185900</v>
      </c>
      <c r="M38" s="3">
        <v>66520</v>
      </c>
      <c r="N38" s="3">
        <v>17</v>
      </c>
      <c r="O38" s="3" t="s">
        <v>865</v>
      </c>
      <c r="P38" s="3" t="s">
        <v>855</v>
      </c>
      <c r="Q38" s="3">
        <v>4</v>
      </c>
      <c r="R38" s="3" t="s">
        <v>847</v>
      </c>
    </row>
    <row r="39" spans="1:18" x14ac:dyDescent="0.3">
      <c r="A39" s="3" t="s">
        <v>912</v>
      </c>
      <c r="B39" s="3" t="s">
        <v>849</v>
      </c>
      <c r="C39" s="3" t="s">
        <v>842</v>
      </c>
      <c r="D39" s="3" t="s">
        <v>843</v>
      </c>
      <c r="E39" s="3" t="s">
        <v>844</v>
      </c>
      <c r="F39" s="3" t="s">
        <v>143</v>
      </c>
      <c r="G39" s="3" t="s">
        <v>59</v>
      </c>
      <c r="H39" s="3" t="s">
        <v>27</v>
      </c>
      <c r="I39" s="3">
        <v>15</v>
      </c>
      <c r="J39" s="3">
        <v>26386</v>
      </c>
      <c r="K39" s="3">
        <v>395790</v>
      </c>
      <c r="L39" s="3">
        <v>278910</v>
      </c>
      <c r="M39" s="3">
        <v>116880</v>
      </c>
      <c r="N39" s="3">
        <v>17</v>
      </c>
      <c r="O39" s="3" t="s">
        <v>854</v>
      </c>
      <c r="P39" s="3" t="s">
        <v>858</v>
      </c>
      <c r="Q39" s="3">
        <v>4.8</v>
      </c>
      <c r="R39" s="3" t="s">
        <v>847</v>
      </c>
    </row>
    <row r="40" spans="1:18" x14ac:dyDescent="0.3">
      <c r="A40" s="3" t="s">
        <v>913</v>
      </c>
      <c r="B40" s="3" t="s">
        <v>853</v>
      </c>
      <c r="C40" s="3" t="s">
        <v>889</v>
      </c>
      <c r="D40" s="3" t="s">
        <v>890</v>
      </c>
      <c r="E40" s="3" t="s">
        <v>872</v>
      </c>
      <c r="F40" s="3" t="s">
        <v>79</v>
      </c>
      <c r="G40" s="3" t="s">
        <v>59</v>
      </c>
      <c r="H40" s="3" t="s">
        <v>38</v>
      </c>
      <c r="I40" s="3">
        <v>15</v>
      </c>
      <c r="J40" s="3">
        <v>9775</v>
      </c>
      <c r="K40" s="3">
        <v>146625</v>
      </c>
      <c r="L40" s="3">
        <v>108180</v>
      </c>
      <c r="M40" s="3">
        <v>38445</v>
      </c>
      <c r="N40" s="3">
        <v>0</v>
      </c>
      <c r="O40" s="3" t="s">
        <v>854</v>
      </c>
      <c r="P40" s="3" t="s">
        <v>855</v>
      </c>
      <c r="Q40" s="3">
        <v>4.0999999999999996</v>
      </c>
      <c r="R40" s="3" t="s">
        <v>847</v>
      </c>
    </row>
    <row r="41" spans="1:18" x14ac:dyDescent="0.3">
      <c r="A41" s="3" t="s">
        <v>914</v>
      </c>
      <c r="B41" s="3" t="s">
        <v>886</v>
      </c>
      <c r="C41" s="3" t="s">
        <v>842</v>
      </c>
      <c r="D41" s="3" t="s">
        <v>843</v>
      </c>
      <c r="E41" s="3" t="s">
        <v>844</v>
      </c>
      <c r="F41" s="3" t="s">
        <v>136</v>
      </c>
      <c r="G41" s="3" t="s">
        <v>81</v>
      </c>
      <c r="H41" s="3" t="s">
        <v>98</v>
      </c>
      <c r="I41" s="3">
        <v>10</v>
      </c>
      <c r="J41" s="3">
        <v>24625</v>
      </c>
      <c r="K41" s="3">
        <v>246250</v>
      </c>
      <c r="L41" s="3">
        <v>183850</v>
      </c>
      <c r="M41" s="3">
        <v>62400</v>
      </c>
      <c r="N41" s="3">
        <v>11</v>
      </c>
      <c r="O41" s="3" t="s">
        <v>865</v>
      </c>
      <c r="P41" s="3" t="s">
        <v>855</v>
      </c>
      <c r="Q41" s="3">
        <v>3.4</v>
      </c>
      <c r="R41" s="3" t="s">
        <v>861</v>
      </c>
    </row>
    <row r="42" spans="1:18" x14ac:dyDescent="0.3">
      <c r="A42" s="3" t="s">
        <v>915</v>
      </c>
      <c r="B42" s="3" t="s">
        <v>874</v>
      </c>
      <c r="C42" s="3" t="s">
        <v>850</v>
      </c>
      <c r="D42" s="3" t="s">
        <v>851</v>
      </c>
      <c r="E42" s="3" t="s">
        <v>844</v>
      </c>
      <c r="F42" s="3" t="s">
        <v>125</v>
      </c>
      <c r="G42" s="3" t="s">
        <v>59</v>
      </c>
      <c r="H42" s="3" t="s">
        <v>98</v>
      </c>
      <c r="I42" s="3">
        <v>12</v>
      </c>
      <c r="J42" s="3">
        <v>54322</v>
      </c>
      <c r="K42" s="3">
        <v>651864</v>
      </c>
      <c r="L42" s="3">
        <v>500196</v>
      </c>
      <c r="M42" s="3">
        <v>151668</v>
      </c>
      <c r="N42" s="3">
        <v>11</v>
      </c>
      <c r="O42" s="3" t="s">
        <v>865</v>
      </c>
      <c r="P42" s="3" t="s">
        <v>866</v>
      </c>
      <c r="Q42" s="3">
        <v>4.5</v>
      </c>
      <c r="R42" s="3" t="s">
        <v>847</v>
      </c>
    </row>
    <row r="43" spans="1:18" x14ac:dyDescent="0.3">
      <c r="A43" s="3" t="s">
        <v>916</v>
      </c>
      <c r="B43" s="3" t="s">
        <v>868</v>
      </c>
      <c r="C43" s="3" t="s">
        <v>877</v>
      </c>
      <c r="D43" s="3" t="s">
        <v>878</v>
      </c>
      <c r="E43" s="3" t="s">
        <v>844</v>
      </c>
      <c r="F43" s="3" t="s">
        <v>79</v>
      </c>
      <c r="G43" s="3" t="s">
        <v>59</v>
      </c>
      <c r="H43" s="3" t="s">
        <v>27</v>
      </c>
      <c r="I43" s="3">
        <v>3</v>
      </c>
      <c r="J43" s="3">
        <v>17239</v>
      </c>
      <c r="K43" s="3">
        <v>51717</v>
      </c>
      <c r="L43" s="3">
        <v>38568</v>
      </c>
      <c r="M43" s="3">
        <v>13149</v>
      </c>
      <c r="N43" s="3">
        <v>15</v>
      </c>
      <c r="O43" s="3" t="s">
        <v>854</v>
      </c>
      <c r="P43" s="3" t="s">
        <v>858</v>
      </c>
      <c r="Q43" s="3">
        <v>4.0999999999999996</v>
      </c>
      <c r="R43" s="3" t="s">
        <v>861</v>
      </c>
    </row>
    <row r="44" spans="1:18" x14ac:dyDescent="0.3">
      <c r="A44" s="3" t="s">
        <v>917</v>
      </c>
      <c r="B44" s="3" t="s">
        <v>888</v>
      </c>
      <c r="C44" s="3" t="s">
        <v>870</v>
      </c>
      <c r="D44" s="3" t="s">
        <v>871</v>
      </c>
      <c r="E44" s="3" t="s">
        <v>872</v>
      </c>
      <c r="F44" s="3" t="s">
        <v>68</v>
      </c>
      <c r="G44" s="3" t="s">
        <v>59</v>
      </c>
      <c r="H44" s="3" t="s">
        <v>27</v>
      </c>
      <c r="I44" s="3">
        <v>15</v>
      </c>
      <c r="J44" s="3">
        <v>6416</v>
      </c>
      <c r="K44" s="3">
        <v>96240</v>
      </c>
      <c r="L44" s="3">
        <v>54660</v>
      </c>
      <c r="M44" s="3">
        <v>41580</v>
      </c>
      <c r="N44" s="3">
        <v>9</v>
      </c>
      <c r="O44" s="3" t="s">
        <v>845</v>
      </c>
      <c r="P44" s="3" t="s">
        <v>846</v>
      </c>
      <c r="Q44" s="3">
        <v>4.7</v>
      </c>
      <c r="R44" s="3" t="s">
        <v>861</v>
      </c>
    </row>
    <row r="45" spans="1:18" x14ac:dyDescent="0.3">
      <c r="A45" s="3" t="s">
        <v>918</v>
      </c>
      <c r="B45" s="3" t="s">
        <v>868</v>
      </c>
      <c r="C45" s="3" t="s">
        <v>889</v>
      </c>
      <c r="D45" s="3" t="s">
        <v>890</v>
      </c>
      <c r="E45" s="3" t="s">
        <v>872</v>
      </c>
      <c r="F45" s="3" t="s">
        <v>125</v>
      </c>
      <c r="G45" s="3" t="s">
        <v>26</v>
      </c>
      <c r="H45" s="3" t="s">
        <v>28</v>
      </c>
      <c r="I45" s="3">
        <v>2</v>
      </c>
      <c r="J45" s="3">
        <v>9609</v>
      </c>
      <c r="K45" s="3">
        <v>19218</v>
      </c>
      <c r="L45" s="3">
        <v>14200</v>
      </c>
      <c r="M45" s="3">
        <v>5018</v>
      </c>
      <c r="N45" s="3">
        <v>16</v>
      </c>
      <c r="O45" s="3" t="s">
        <v>845</v>
      </c>
      <c r="P45" s="3" t="s">
        <v>846</v>
      </c>
      <c r="Q45" s="3">
        <v>4.4000000000000004</v>
      </c>
      <c r="R45" s="3" t="s">
        <v>861</v>
      </c>
    </row>
    <row r="46" spans="1:18" x14ac:dyDescent="0.3">
      <c r="A46" s="3" t="s">
        <v>919</v>
      </c>
      <c r="B46" s="3" t="s">
        <v>886</v>
      </c>
      <c r="C46" s="3" t="s">
        <v>877</v>
      </c>
      <c r="D46" s="3" t="s">
        <v>878</v>
      </c>
      <c r="E46" s="3" t="s">
        <v>844</v>
      </c>
      <c r="F46" s="3" t="s">
        <v>75</v>
      </c>
      <c r="G46" s="3" t="s">
        <v>59</v>
      </c>
      <c r="H46" s="3" t="s">
        <v>38</v>
      </c>
      <c r="I46" s="3">
        <v>6</v>
      </c>
      <c r="J46" s="3">
        <v>17843</v>
      </c>
      <c r="K46" s="3">
        <v>107058</v>
      </c>
      <c r="L46" s="3">
        <v>81654</v>
      </c>
      <c r="M46" s="3">
        <v>25404</v>
      </c>
      <c r="N46" s="3">
        <v>2</v>
      </c>
      <c r="O46" s="3" t="s">
        <v>854</v>
      </c>
      <c r="P46" s="3" t="s">
        <v>858</v>
      </c>
      <c r="Q46" s="3">
        <v>4.7</v>
      </c>
      <c r="R46" s="3" t="s">
        <v>847</v>
      </c>
    </row>
    <row r="47" spans="1:18" x14ac:dyDescent="0.3">
      <c r="A47" s="3" t="s">
        <v>920</v>
      </c>
      <c r="B47" s="3" t="s">
        <v>853</v>
      </c>
      <c r="C47" s="3" t="s">
        <v>842</v>
      </c>
      <c r="D47" s="3" t="s">
        <v>843</v>
      </c>
      <c r="E47" s="3" t="s">
        <v>844</v>
      </c>
      <c r="F47" s="3" t="s">
        <v>68</v>
      </c>
      <c r="G47" s="3" t="s">
        <v>39</v>
      </c>
      <c r="H47" s="3" t="s">
        <v>49</v>
      </c>
      <c r="I47" s="3">
        <v>13</v>
      </c>
      <c r="J47" s="3">
        <v>25024</v>
      </c>
      <c r="K47" s="3">
        <v>325312</v>
      </c>
      <c r="L47" s="3">
        <v>239070</v>
      </c>
      <c r="M47" s="3">
        <v>86242</v>
      </c>
      <c r="N47" s="3">
        <v>8</v>
      </c>
      <c r="O47" s="3" t="s">
        <v>845</v>
      </c>
      <c r="P47" s="3" t="s">
        <v>855</v>
      </c>
      <c r="Q47" s="3">
        <v>3.9</v>
      </c>
      <c r="R47" s="3" t="s">
        <v>861</v>
      </c>
    </row>
    <row r="48" spans="1:18" x14ac:dyDescent="0.3">
      <c r="A48" s="3" t="s">
        <v>921</v>
      </c>
      <c r="B48" s="3" t="s">
        <v>857</v>
      </c>
      <c r="C48" s="3" t="s">
        <v>850</v>
      </c>
      <c r="D48" s="3" t="s">
        <v>851</v>
      </c>
      <c r="E48" s="3" t="s">
        <v>844</v>
      </c>
      <c r="F48" s="3" t="s">
        <v>75</v>
      </c>
      <c r="G48" s="3" t="s">
        <v>81</v>
      </c>
      <c r="H48" s="3" t="s">
        <v>38</v>
      </c>
      <c r="I48" s="3">
        <v>15</v>
      </c>
      <c r="J48" s="3">
        <v>54155</v>
      </c>
      <c r="K48" s="3">
        <v>812325</v>
      </c>
      <c r="L48" s="3">
        <v>623430</v>
      </c>
      <c r="M48" s="3">
        <v>188895</v>
      </c>
      <c r="N48" s="3">
        <v>3</v>
      </c>
      <c r="O48" s="3" t="s">
        <v>845</v>
      </c>
      <c r="P48" s="3" t="s">
        <v>866</v>
      </c>
      <c r="Q48" s="3">
        <v>5</v>
      </c>
      <c r="R48" s="3" t="s">
        <v>847</v>
      </c>
    </row>
    <row r="49" spans="1:18" x14ac:dyDescent="0.3">
      <c r="A49" s="3" t="s">
        <v>922</v>
      </c>
      <c r="B49" s="3" t="s">
        <v>868</v>
      </c>
      <c r="C49" s="3" t="s">
        <v>863</v>
      </c>
      <c r="D49" s="3" t="s">
        <v>864</v>
      </c>
      <c r="E49" s="3" t="s">
        <v>844</v>
      </c>
      <c r="F49" s="3" t="s">
        <v>136</v>
      </c>
      <c r="G49" s="3" t="s">
        <v>26</v>
      </c>
      <c r="H49" s="3" t="s">
        <v>49</v>
      </c>
      <c r="I49" s="3">
        <v>14</v>
      </c>
      <c r="J49" s="3">
        <v>11912</v>
      </c>
      <c r="K49" s="3">
        <v>166768</v>
      </c>
      <c r="L49" s="3">
        <v>121632</v>
      </c>
      <c r="M49" s="3">
        <v>45136</v>
      </c>
      <c r="N49" s="3">
        <v>10</v>
      </c>
      <c r="O49" s="3" t="s">
        <v>875</v>
      </c>
      <c r="P49" s="3" t="s">
        <v>855</v>
      </c>
      <c r="Q49" s="3">
        <v>4.5</v>
      </c>
      <c r="R49" s="3" t="s">
        <v>861</v>
      </c>
    </row>
    <row r="50" spans="1:18" x14ac:dyDescent="0.3">
      <c r="A50" s="3" t="s">
        <v>923</v>
      </c>
      <c r="B50" s="3" t="s">
        <v>888</v>
      </c>
      <c r="C50" s="3" t="s">
        <v>863</v>
      </c>
      <c r="D50" s="3" t="s">
        <v>864</v>
      </c>
      <c r="E50" s="3" t="s">
        <v>844</v>
      </c>
      <c r="F50" s="3" t="s">
        <v>143</v>
      </c>
      <c r="G50" s="3" t="s">
        <v>26</v>
      </c>
      <c r="H50" s="3" t="s">
        <v>27</v>
      </c>
      <c r="I50" s="3">
        <v>4</v>
      </c>
      <c r="J50" s="3">
        <v>11467</v>
      </c>
      <c r="K50" s="3">
        <v>45868</v>
      </c>
      <c r="L50" s="3">
        <v>31344</v>
      </c>
      <c r="M50" s="3">
        <v>14524</v>
      </c>
      <c r="N50" s="3">
        <v>9</v>
      </c>
      <c r="O50" s="3" t="s">
        <v>845</v>
      </c>
      <c r="P50" s="3" t="s">
        <v>858</v>
      </c>
      <c r="Q50" s="3">
        <v>3.6</v>
      </c>
      <c r="R50" s="3" t="s">
        <v>847</v>
      </c>
    </row>
    <row r="51" spans="1:18" x14ac:dyDescent="0.3">
      <c r="A51" s="3" t="s">
        <v>924</v>
      </c>
      <c r="B51" s="3" t="s">
        <v>884</v>
      </c>
      <c r="C51" s="3" t="s">
        <v>870</v>
      </c>
      <c r="D51" s="3" t="s">
        <v>871</v>
      </c>
      <c r="E51" s="3" t="s">
        <v>872</v>
      </c>
      <c r="F51" s="3" t="s">
        <v>136</v>
      </c>
      <c r="G51" s="3" t="s">
        <v>26</v>
      </c>
      <c r="H51" s="3" t="s">
        <v>49</v>
      </c>
      <c r="I51" s="3">
        <v>9</v>
      </c>
      <c r="J51" s="3">
        <v>5646</v>
      </c>
      <c r="K51" s="3">
        <v>50814</v>
      </c>
      <c r="L51" s="3">
        <v>23499</v>
      </c>
      <c r="M51" s="3">
        <v>27315</v>
      </c>
      <c r="N51" s="3">
        <v>5</v>
      </c>
      <c r="O51" s="3" t="s">
        <v>854</v>
      </c>
      <c r="P51" s="3" t="s">
        <v>846</v>
      </c>
      <c r="Q51" s="3">
        <v>4</v>
      </c>
      <c r="R51" s="3" t="s">
        <v>847</v>
      </c>
    </row>
    <row r="52" spans="1:18" x14ac:dyDescent="0.3">
      <c r="A52" s="3" t="s">
        <v>925</v>
      </c>
      <c r="B52" s="3" t="s">
        <v>874</v>
      </c>
      <c r="C52" s="3" t="s">
        <v>863</v>
      </c>
      <c r="D52" s="3" t="s">
        <v>864</v>
      </c>
      <c r="E52" s="3" t="s">
        <v>844</v>
      </c>
      <c r="F52" s="3" t="s">
        <v>125</v>
      </c>
      <c r="G52" s="3" t="s">
        <v>26</v>
      </c>
      <c r="H52" s="3" t="s">
        <v>25</v>
      </c>
      <c r="I52" s="3">
        <v>11</v>
      </c>
      <c r="J52" s="3">
        <v>11115</v>
      </c>
      <c r="K52" s="3">
        <v>122265</v>
      </c>
      <c r="L52" s="3">
        <v>89617</v>
      </c>
      <c r="M52" s="3">
        <v>32648</v>
      </c>
      <c r="N52" s="3">
        <v>0</v>
      </c>
      <c r="O52" s="3" t="s">
        <v>875</v>
      </c>
      <c r="P52" s="3" t="s">
        <v>858</v>
      </c>
      <c r="Q52" s="3">
        <v>5</v>
      </c>
      <c r="R52" s="3" t="s">
        <v>847</v>
      </c>
    </row>
    <row r="53" spans="1:18" x14ac:dyDescent="0.3">
      <c r="A53" s="3" t="s">
        <v>926</v>
      </c>
      <c r="B53" s="3" t="s">
        <v>874</v>
      </c>
      <c r="C53" s="3" t="s">
        <v>877</v>
      </c>
      <c r="D53" s="3" t="s">
        <v>878</v>
      </c>
      <c r="E53" s="3" t="s">
        <v>844</v>
      </c>
      <c r="F53" s="3" t="s">
        <v>75</v>
      </c>
      <c r="G53" s="3" t="s">
        <v>59</v>
      </c>
      <c r="H53" s="3" t="s">
        <v>49</v>
      </c>
      <c r="I53" s="3">
        <v>9</v>
      </c>
      <c r="J53" s="3">
        <v>19435</v>
      </c>
      <c r="K53" s="3">
        <v>174915</v>
      </c>
      <c r="L53" s="3">
        <v>112950</v>
      </c>
      <c r="M53" s="3">
        <v>61965</v>
      </c>
      <c r="N53" s="3">
        <v>11</v>
      </c>
      <c r="O53" s="3" t="s">
        <v>845</v>
      </c>
      <c r="P53" s="3" t="s">
        <v>855</v>
      </c>
      <c r="Q53" s="3">
        <v>4</v>
      </c>
      <c r="R53" s="3" t="s">
        <v>861</v>
      </c>
    </row>
    <row r="54" spans="1:18" x14ac:dyDescent="0.3">
      <c r="A54" s="3" t="s">
        <v>927</v>
      </c>
      <c r="B54" s="3" t="s">
        <v>853</v>
      </c>
      <c r="C54" s="3" t="s">
        <v>842</v>
      </c>
      <c r="D54" s="3" t="s">
        <v>843</v>
      </c>
      <c r="E54" s="3" t="s">
        <v>844</v>
      </c>
      <c r="F54" s="3" t="s">
        <v>143</v>
      </c>
      <c r="G54" s="3" t="s">
        <v>39</v>
      </c>
      <c r="H54" s="3" t="s">
        <v>27</v>
      </c>
      <c r="I54" s="3">
        <v>6</v>
      </c>
      <c r="J54" s="3">
        <v>24836</v>
      </c>
      <c r="K54" s="3">
        <v>149016</v>
      </c>
      <c r="L54" s="3">
        <v>105822</v>
      </c>
      <c r="M54" s="3">
        <v>43194</v>
      </c>
      <c r="N54" s="3">
        <v>1</v>
      </c>
      <c r="O54" s="3" t="s">
        <v>845</v>
      </c>
      <c r="P54" s="3" t="s">
        <v>855</v>
      </c>
      <c r="Q54" s="3">
        <v>3.2</v>
      </c>
      <c r="R54" s="3" t="s">
        <v>847</v>
      </c>
    </row>
    <row r="55" spans="1:18" x14ac:dyDescent="0.3">
      <c r="A55" s="3" t="s">
        <v>928</v>
      </c>
      <c r="B55" s="3" t="s">
        <v>886</v>
      </c>
      <c r="C55" s="3" t="s">
        <v>877</v>
      </c>
      <c r="D55" s="3" t="s">
        <v>878</v>
      </c>
      <c r="E55" s="3" t="s">
        <v>844</v>
      </c>
      <c r="F55" s="3" t="s">
        <v>136</v>
      </c>
      <c r="G55" s="3" t="s">
        <v>39</v>
      </c>
      <c r="H55" s="3" t="s">
        <v>49</v>
      </c>
      <c r="I55" s="3">
        <v>10</v>
      </c>
      <c r="J55" s="3">
        <v>19137</v>
      </c>
      <c r="K55" s="3">
        <v>191370</v>
      </c>
      <c r="L55" s="3">
        <v>136990</v>
      </c>
      <c r="M55" s="3">
        <v>54380</v>
      </c>
      <c r="N55" s="3">
        <v>16</v>
      </c>
      <c r="O55" s="3" t="s">
        <v>854</v>
      </c>
      <c r="P55" s="3" t="s">
        <v>846</v>
      </c>
      <c r="Q55" s="3">
        <v>4.5999999999999996</v>
      </c>
      <c r="R55" s="3" t="s">
        <v>861</v>
      </c>
    </row>
    <row r="56" spans="1:18" x14ac:dyDescent="0.3">
      <c r="A56" s="3" t="s">
        <v>929</v>
      </c>
      <c r="B56" s="3" t="s">
        <v>841</v>
      </c>
      <c r="C56" s="3" t="s">
        <v>850</v>
      </c>
      <c r="D56" s="3" t="s">
        <v>851</v>
      </c>
      <c r="E56" s="3" t="s">
        <v>844</v>
      </c>
      <c r="F56" s="3" t="s">
        <v>75</v>
      </c>
      <c r="G56" s="3" t="s">
        <v>81</v>
      </c>
      <c r="H56" s="3" t="s">
        <v>38</v>
      </c>
      <c r="I56" s="3">
        <v>10</v>
      </c>
      <c r="J56" s="3">
        <v>55139</v>
      </c>
      <c r="K56" s="3">
        <v>551390</v>
      </c>
      <c r="L56" s="3">
        <v>424750</v>
      </c>
      <c r="M56" s="3">
        <v>126640</v>
      </c>
      <c r="N56" s="3">
        <v>10</v>
      </c>
      <c r="O56" s="3" t="s">
        <v>875</v>
      </c>
      <c r="P56" s="3" t="s">
        <v>866</v>
      </c>
      <c r="Q56" s="3">
        <v>3.5</v>
      </c>
      <c r="R56" s="3" t="s">
        <v>861</v>
      </c>
    </row>
    <row r="57" spans="1:18" x14ac:dyDescent="0.3">
      <c r="A57" s="3" t="s">
        <v>930</v>
      </c>
      <c r="B57" s="3" t="s">
        <v>849</v>
      </c>
      <c r="C57" s="3" t="s">
        <v>889</v>
      </c>
      <c r="D57" s="3" t="s">
        <v>890</v>
      </c>
      <c r="E57" s="3" t="s">
        <v>872</v>
      </c>
      <c r="F57" s="3" t="s">
        <v>136</v>
      </c>
      <c r="G57" s="3" t="s">
        <v>81</v>
      </c>
      <c r="H57" s="3" t="s">
        <v>27</v>
      </c>
      <c r="I57" s="3">
        <v>12</v>
      </c>
      <c r="J57" s="3">
        <v>10624</v>
      </c>
      <c r="K57" s="3">
        <v>127488</v>
      </c>
      <c r="L57" s="3">
        <v>89868</v>
      </c>
      <c r="M57" s="3">
        <v>37620</v>
      </c>
      <c r="N57" s="3">
        <v>8</v>
      </c>
      <c r="O57" s="3" t="s">
        <v>865</v>
      </c>
      <c r="P57" s="3" t="s">
        <v>858</v>
      </c>
      <c r="Q57" s="3">
        <v>4.5999999999999996</v>
      </c>
      <c r="R57" s="3" t="s">
        <v>847</v>
      </c>
    </row>
    <row r="58" spans="1:18" x14ac:dyDescent="0.3">
      <c r="A58" s="3" t="s">
        <v>931</v>
      </c>
      <c r="B58" s="3" t="s">
        <v>907</v>
      </c>
      <c r="C58" s="3" t="s">
        <v>842</v>
      </c>
      <c r="D58" s="3" t="s">
        <v>843</v>
      </c>
      <c r="E58" s="3" t="s">
        <v>844</v>
      </c>
      <c r="F58" s="3" t="s">
        <v>136</v>
      </c>
      <c r="G58" s="3" t="s">
        <v>39</v>
      </c>
      <c r="H58" s="3" t="s">
        <v>25</v>
      </c>
      <c r="I58" s="3">
        <v>7</v>
      </c>
      <c r="J58" s="3">
        <v>24366</v>
      </c>
      <c r="K58" s="3">
        <v>170562</v>
      </c>
      <c r="L58" s="3">
        <v>127036</v>
      </c>
      <c r="M58" s="3">
        <v>43526</v>
      </c>
      <c r="N58" s="3">
        <v>3</v>
      </c>
      <c r="O58" s="3" t="s">
        <v>845</v>
      </c>
      <c r="P58" s="3" t="s">
        <v>858</v>
      </c>
      <c r="Q58" s="3">
        <v>4.5</v>
      </c>
      <c r="R58" s="3" t="s">
        <v>861</v>
      </c>
    </row>
    <row r="59" spans="1:18" x14ac:dyDescent="0.3">
      <c r="A59" s="3" t="s">
        <v>932</v>
      </c>
      <c r="B59" s="3" t="s">
        <v>868</v>
      </c>
      <c r="C59" s="3" t="s">
        <v>850</v>
      </c>
      <c r="D59" s="3" t="s">
        <v>851</v>
      </c>
      <c r="E59" s="3" t="s">
        <v>844</v>
      </c>
      <c r="F59" s="3" t="s">
        <v>136</v>
      </c>
      <c r="G59" s="3" t="s">
        <v>26</v>
      </c>
      <c r="H59" s="3" t="s">
        <v>98</v>
      </c>
      <c r="I59" s="3">
        <v>13</v>
      </c>
      <c r="J59" s="3">
        <v>55818</v>
      </c>
      <c r="K59" s="3">
        <v>725634</v>
      </c>
      <c r="L59" s="3">
        <v>553735</v>
      </c>
      <c r="M59" s="3">
        <v>171899</v>
      </c>
      <c r="N59" s="3">
        <v>17</v>
      </c>
      <c r="O59" s="3" t="s">
        <v>865</v>
      </c>
      <c r="P59" s="3" t="s">
        <v>866</v>
      </c>
      <c r="Q59" s="3">
        <v>4.4000000000000004</v>
      </c>
      <c r="R59" s="3" t="s">
        <v>861</v>
      </c>
    </row>
    <row r="60" spans="1:18" x14ac:dyDescent="0.3">
      <c r="A60" s="3" t="s">
        <v>933</v>
      </c>
      <c r="B60" s="3" t="s">
        <v>853</v>
      </c>
      <c r="C60" s="3" t="s">
        <v>850</v>
      </c>
      <c r="D60" s="3" t="s">
        <v>851</v>
      </c>
      <c r="E60" s="3" t="s">
        <v>844</v>
      </c>
      <c r="F60" s="3" t="s">
        <v>143</v>
      </c>
      <c r="G60" s="3" t="s">
        <v>81</v>
      </c>
      <c r="H60" s="3" t="s">
        <v>25</v>
      </c>
      <c r="I60" s="3">
        <v>12</v>
      </c>
      <c r="J60" s="3">
        <v>54337</v>
      </c>
      <c r="K60" s="3">
        <v>652044</v>
      </c>
      <c r="L60" s="3">
        <v>504588</v>
      </c>
      <c r="M60" s="3">
        <v>147456</v>
      </c>
      <c r="N60" s="3">
        <v>6</v>
      </c>
      <c r="O60" s="3" t="s">
        <v>875</v>
      </c>
      <c r="P60" s="3" t="s">
        <v>846</v>
      </c>
      <c r="Q60" s="3">
        <v>3.2</v>
      </c>
      <c r="R60" s="3" t="s">
        <v>847</v>
      </c>
    </row>
    <row r="61" spans="1:18" x14ac:dyDescent="0.3">
      <c r="A61" s="3" t="s">
        <v>934</v>
      </c>
      <c r="B61" s="3" t="s">
        <v>874</v>
      </c>
      <c r="C61" s="3" t="s">
        <v>870</v>
      </c>
      <c r="D61" s="3" t="s">
        <v>871</v>
      </c>
      <c r="E61" s="3" t="s">
        <v>872</v>
      </c>
      <c r="F61" s="3" t="s">
        <v>75</v>
      </c>
      <c r="G61" s="3" t="s">
        <v>26</v>
      </c>
      <c r="H61" s="3" t="s">
        <v>25</v>
      </c>
      <c r="I61" s="3">
        <v>10</v>
      </c>
      <c r="J61" s="3">
        <v>4491</v>
      </c>
      <c r="K61" s="3">
        <v>44910</v>
      </c>
      <c r="L61" s="3">
        <v>25130</v>
      </c>
      <c r="M61" s="3">
        <v>19780</v>
      </c>
      <c r="N61" s="3">
        <v>8</v>
      </c>
      <c r="O61" s="3" t="s">
        <v>845</v>
      </c>
      <c r="P61" s="3" t="s">
        <v>866</v>
      </c>
      <c r="Q61" s="3">
        <v>4.5999999999999996</v>
      </c>
      <c r="R61" s="3" t="s">
        <v>861</v>
      </c>
    </row>
    <row r="62" spans="1:18" x14ac:dyDescent="0.3">
      <c r="A62" s="3" t="s">
        <v>935</v>
      </c>
      <c r="B62" s="3" t="s">
        <v>907</v>
      </c>
      <c r="C62" s="3" t="s">
        <v>877</v>
      </c>
      <c r="D62" s="3" t="s">
        <v>878</v>
      </c>
      <c r="E62" s="3" t="s">
        <v>844</v>
      </c>
      <c r="F62" s="3" t="s">
        <v>125</v>
      </c>
      <c r="G62" s="3" t="s">
        <v>81</v>
      </c>
      <c r="H62" s="3" t="s">
        <v>28</v>
      </c>
      <c r="I62" s="3">
        <v>8</v>
      </c>
      <c r="J62" s="3">
        <v>18977</v>
      </c>
      <c r="K62" s="3">
        <v>151816</v>
      </c>
      <c r="L62" s="3">
        <v>100096</v>
      </c>
      <c r="M62" s="3">
        <v>51720</v>
      </c>
      <c r="N62" s="3">
        <v>4</v>
      </c>
      <c r="O62" s="3" t="s">
        <v>845</v>
      </c>
      <c r="P62" s="3" t="s">
        <v>858</v>
      </c>
      <c r="Q62" s="3">
        <v>4.2</v>
      </c>
      <c r="R62" s="3" t="s">
        <v>861</v>
      </c>
    </row>
    <row r="63" spans="1:18" x14ac:dyDescent="0.3">
      <c r="A63" s="3" t="s">
        <v>936</v>
      </c>
      <c r="B63" s="3" t="s">
        <v>886</v>
      </c>
      <c r="C63" s="3" t="s">
        <v>870</v>
      </c>
      <c r="D63" s="3" t="s">
        <v>871</v>
      </c>
      <c r="E63" s="3" t="s">
        <v>872</v>
      </c>
      <c r="F63" s="3" t="s">
        <v>47</v>
      </c>
      <c r="G63" s="3" t="s">
        <v>81</v>
      </c>
      <c r="H63" s="3" t="s">
        <v>98</v>
      </c>
      <c r="I63" s="3">
        <v>10</v>
      </c>
      <c r="J63" s="3">
        <v>5104</v>
      </c>
      <c r="K63" s="3">
        <v>51040</v>
      </c>
      <c r="L63" s="3">
        <v>35490</v>
      </c>
      <c r="M63" s="3">
        <v>15550</v>
      </c>
      <c r="N63" s="3">
        <v>9</v>
      </c>
      <c r="O63" s="3" t="s">
        <v>854</v>
      </c>
      <c r="P63" s="3" t="s">
        <v>866</v>
      </c>
      <c r="Q63" s="3">
        <v>3.7</v>
      </c>
      <c r="R63" s="3" t="s">
        <v>847</v>
      </c>
    </row>
    <row r="64" spans="1:18" x14ac:dyDescent="0.3">
      <c r="A64" s="3" t="s">
        <v>937</v>
      </c>
      <c r="B64" s="3" t="s">
        <v>853</v>
      </c>
      <c r="C64" s="3" t="s">
        <v>850</v>
      </c>
      <c r="D64" s="3" t="s">
        <v>851</v>
      </c>
      <c r="E64" s="3" t="s">
        <v>844</v>
      </c>
      <c r="F64" s="3" t="s">
        <v>75</v>
      </c>
      <c r="G64" s="3" t="s">
        <v>39</v>
      </c>
      <c r="H64" s="3" t="s">
        <v>38</v>
      </c>
      <c r="I64" s="3">
        <v>9</v>
      </c>
      <c r="J64" s="3">
        <v>55771</v>
      </c>
      <c r="K64" s="3">
        <v>501939</v>
      </c>
      <c r="L64" s="3">
        <v>374814</v>
      </c>
      <c r="M64" s="3">
        <v>127125</v>
      </c>
      <c r="N64" s="3">
        <v>5</v>
      </c>
      <c r="O64" s="3" t="s">
        <v>854</v>
      </c>
      <c r="P64" s="3" t="s">
        <v>855</v>
      </c>
      <c r="Q64" s="3">
        <v>3.2</v>
      </c>
      <c r="R64" s="3" t="s">
        <v>861</v>
      </c>
    </row>
    <row r="65" spans="1:18" x14ac:dyDescent="0.3">
      <c r="A65" s="3" t="s">
        <v>938</v>
      </c>
      <c r="B65" s="3" t="s">
        <v>857</v>
      </c>
      <c r="C65" s="3" t="s">
        <v>870</v>
      </c>
      <c r="D65" s="3" t="s">
        <v>871</v>
      </c>
      <c r="E65" s="3" t="s">
        <v>872</v>
      </c>
      <c r="F65" s="3" t="s">
        <v>47</v>
      </c>
      <c r="G65" s="3" t="s">
        <v>59</v>
      </c>
      <c r="H65" s="3" t="s">
        <v>38</v>
      </c>
      <c r="I65" s="3">
        <v>13</v>
      </c>
      <c r="J65" s="3">
        <v>6208</v>
      </c>
      <c r="K65" s="3">
        <v>80704</v>
      </c>
      <c r="L65" s="3">
        <v>38649</v>
      </c>
      <c r="M65" s="3">
        <v>42055</v>
      </c>
      <c r="N65" s="3">
        <v>13</v>
      </c>
      <c r="O65" s="3" t="s">
        <v>865</v>
      </c>
      <c r="P65" s="3" t="s">
        <v>855</v>
      </c>
      <c r="Q65" s="3">
        <v>3.2</v>
      </c>
      <c r="R65" s="3" t="s">
        <v>847</v>
      </c>
    </row>
    <row r="66" spans="1:18" x14ac:dyDescent="0.3">
      <c r="A66" s="3" t="s">
        <v>939</v>
      </c>
      <c r="B66" s="3" t="s">
        <v>907</v>
      </c>
      <c r="C66" s="3" t="s">
        <v>889</v>
      </c>
      <c r="D66" s="3" t="s">
        <v>890</v>
      </c>
      <c r="E66" s="3" t="s">
        <v>872</v>
      </c>
      <c r="F66" s="3" t="s">
        <v>143</v>
      </c>
      <c r="G66" s="3" t="s">
        <v>26</v>
      </c>
      <c r="H66" s="3" t="s">
        <v>38</v>
      </c>
      <c r="I66" s="3">
        <v>8</v>
      </c>
      <c r="J66" s="3">
        <v>9183</v>
      </c>
      <c r="K66" s="3">
        <v>73464</v>
      </c>
      <c r="L66" s="3">
        <v>50552</v>
      </c>
      <c r="M66" s="3">
        <v>22912</v>
      </c>
      <c r="N66" s="3">
        <v>3</v>
      </c>
      <c r="O66" s="3" t="s">
        <v>854</v>
      </c>
      <c r="P66" s="3" t="s">
        <v>858</v>
      </c>
      <c r="Q66" s="3">
        <v>4.9000000000000004</v>
      </c>
      <c r="R66" s="3" t="s">
        <v>847</v>
      </c>
    </row>
    <row r="67" spans="1:18" x14ac:dyDescent="0.3">
      <c r="A67" s="3" t="s">
        <v>940</v>
      </c>
      <c r="B67" s="3" t="s">
        <v>886</v>
      </c>
      <c r="C67" s="3" t="s">
        <v>877</v>
      </c>
      <c r="D67" s="3" t="s">
        <v>878</v>
      </c>
      <c r="E67" s="3" t="s">
        <v>844</v>
      </c>
      <c r="F67" s="3" t="s">
        <v>125</v>
      </c>
      <c r="G67" s="3" t="s">
        <v>39</v>
      </c>
      <c r="H67" s="3" t="s">
        <v>25</v>
      </c>
      <c r="I67" s="3">
        <v>11</v>
      </c>
      <c r="J67" s="3">
        <v>17047</v>
      </c>
      <c r="K67" s="3">
        <v>187517</v>
      </c>
      <c r="L67" s="3">
        <v>145134</v>
      </c>
      <c r="M67" s="3">
        <v>42383</v>
      </c>
      <c r="N67" s="3">
        <v>15</v>
      </c>
      <c r="O67" s="3" t="s">
        <v>845</v>
      </c>
      <c r="P67" s="3" t="s">
        <v>846</v>
      </c>
      <c r="Q67" s="3">
        <v>4.4000000000000004</v>
      </c>
      <c r="R67" s="3" t="s">
        <v>847</v>
      </c>
    </row>
    <row r="68" spans="1:18" x14ac:dyDescent="0.3">
      <c r="A68" s="3" t="s">
        <v>941</v>
      </c>
      <c r="B68" s="3" t="s">
        <v>942</v>
      </c>
      <c r="C68" s="3" t="s">
        <v>889</v>
      </c>
      <c r="D68" s="3" t="s">
        <v>890</v>
      </c>
      <c r="E68" s="3" t="s">
        <v>872</v>
      </c>
      <c r="F68" s="3" t="s">
        <v>75</v>
      </c>
      <c r="G68" s="3" t="s">
        <v>81</v>
      </c>
      <c r="H68" s="3" t="s">
        <v>38</v>
      </c>
      <c r="I68" s="3">
        <v>10</v>
      </c>
      <c r="J68" s="3">
        <v>10323</v>
      </c>
      <c r="K68" s="3">
        <v>103230</v>
      </c>
      <c r="L68" s="3">
        <v>75070</v>
      </c>
      <c r="M68" s="3">
        <v>28160</v>
      </c>
      <c r="N68" s="3">
        <v>4</v>
      </c>
      <c r="O68" s="3" t="s">
        <v>875</v>
      </c>
      <c r="P68" s="3" t="s">
        <v>855</v>
      </c>
      <c r="Q68" s="3">
        <v>3.9</v>
      </c>
      <c r="R68" s="3" t="s">
        <v>861</v>
      </c>
    </row>
    <row r="69" spans="1:18" x14ac:dyDescent="0.3">
      <c r="A69" s="3" t="s">
        <v>943</v>
      </c>
      <c r="B69" s="3" t="s">
        <v>907</v>
      </c>
      <c r="C69" s="3" t="s">
        <v>889</v>
      </c>
      <c r="D69" s="3" t="s">
        <v>890</v>
      </c>
      <c r="E69" s="3" t="s">
        <v>872</v>
      </c>
      <c r="F69" s="3" t="s">
        <v>68</v>
      </c>
      <c r="G69" s="3" t="s">
        <v>59</v>
      </c>
      <c r="H69" s="3" t="s">
        <v>27</v>
      </c>
      <c r="I69" s="3">
        <v>15</v>
      </c>
      <c r="J69" s="3">
        <v>10602</v>
      </c>
      <c r="K69" s="3">
        <v>159030</v>
      </c>
      <c r="L69" s="3">
        <v>101520</v>
      </c>
      <c r="M69" s="3">
        <v>57510</v>
      </c>
      <c r="N69" s="3">
        <v>20</v>
      </c>
      <c r="O69" s="3" t="s">
        <v>845</v>
      </c>
      <c r="P69" s="3" t="s">
        <v>846</v>
      </c>
      <c r="Q69" s="3">
        <v>4.4000000000000004</v>
      </c>
      <c r="R69" s="3" t="s">
        <v>847</v>
      </c>
    </row>
    <row r="70" spans="1:18" x14ac:dyDescent="0.3">
      <c r="A70" s="3" t="s">
        <v>944</v>
      </c>
      <c r="B70" s="3" t="s">
        <v>874</v>
      </c>
      <c r="C70" s="3" t="s">
        <v>863</v>
      </c>
      <c r="D70" s="3" t="s">
        <v>864</v>
      </c>
      <c r="E70" s="3" t="s">
        <v>844</v>
      </c>
      <c r="F70" s="3" t="s">
        <v>143</v>
      </c>
      <c r="G70" s="3" t="s">
        <v>26</v>
      </c>
      <c r="H70" s="3" t="s">
        <v>98</v>
      </c>
      <c r="I70" s="3">
        <v>13</v>
      </c>
      <c r="J70" s="3">
        <v>11873</v>
      </c>
      <c r="K70" s="3">
        <v>154349</v>
      </c>
      <c r="L70" s="3">
        <v>108901</v>
      </c>
      <c r="M70" s="3">
        <v>45448</v>
      </c>
      <c r="N70" s="3">
        <v>9</v>
      </c>
      <c r="O70" s="3" t="s">
        <v>865</v>
      </c>
      <c r="P70" s="3" t="s">
        <v>846</v>
      </c>
      <c r="Q70" s="3">
        <v>3.2</v>
      </c>
      <c r="R70" s="3" t="s">
        <v>861</v>
      </c>
    </row>
    <row r="71" spans="1:18" x14ac:dyDescent="0.3">
      <c r="A71" s="3" t="s">
        <v>945</v>
      </c>
      <c r="B71" s="3" t="s">
        <v>942</v>
      </c>
      <c r="C71" s="3" t="s">
        <v>842</v>
      </c>
      <c r="D71" s="3" t="s">
        <v>843</v>
      </c>
      <c r="E71" s="3" t="s">
        <v>844</v>
      </c>
      <c r="F71" s="3" t="s">
        <v>75</v>
      </c>
      <c r="G71" s="3" t="s">
        <v>59</v>
      </c>
      <c r="H71" s="3" t="s">
        <v>98</v>
      </c>
      <c r="I71" s="3">
        <v>5</v>
      </c>
      <c r="J71" s="3">
        <v>24063</v>
      </c>
      <c r="K71" s="3">
        <v>120315</v>
      </c>
      <c r="L71" s="3">
        <v>92025</v>
      </c>
      <c r="M71" s="3">
        <v>28290</v>
      </c>
      <c r="N71" s="3">
        <v>6</v>
      </c>
      <c r="O71" s="3" t="s">
        <v>875</v>
      </c>
      <c r="P71" s="3" t="s">
        <v>858</v>
      </c>
      <c r="Q71" s="3">
        <v>4.0999999999999996</v>
      </c>
      <c r="R71" s="3" t="s">
        <v>847</v>
      </c>
    </row>
    <row r="72" spans="1:18" x14ac:dyDescent="0.3">
      <c r="A72" s="3" t="s">
        <v>946</v>
      </c>
      <c r="B72" s="3" t="s">
        <v>886</v>
      </c>
      <c r="C72" s="3" t="s">
        <v>850</v>
      </c>
      <c r="D72" s="3" t="s">
        <v>851</v>
      </c>
      <c r="E72" s="3" t="s">
        <v>844</v>
      </c>
      <c r="F72" s="3" t="s">
        <v>125</v>
      </c>
      <c r="G72" s="3" t="s">
        <v>26</v>
      </c>
      <c r="H72" s="3" t="s">
        <v>28</v>
      </c>
      <c r="I72" s="3">
        <v>11</v>
      </c>
      <c r="J72" s="3">
        <v>54978</v>
      </c>
      <c r="K72" s="3">
        <v>604758</v>
      </c>
      <c r="L72" s="3">
        <v>460955</v>
      </c>
      <c r="M72" s="3">
        <v>143803</v>
      </c>
      <c r="N72" s="3">
        <v>19</v>
      </c>
      <c r="O72" s="3" t="s">
        <v>865</v>
      </c>
      <c r="P72" s="3" t="s">
        <v>858</v>
      </c>
      <c r="Q72" s="3">
        <v>3.3</v>
      </c>
      <c r="R72" s="3" t="s">
        <v>847</v>
      </c>
    </row>
    <row r="73" spans="1:18" x14ac:dyDescent="0.3">
      <c r="A73" s="3" t="s">
        <v>947</v>
      </c>
      <c r="B73" s="3" t="s">
        <v>841</v>
      </c>
      <c r="C73" s="3" t="s">
        <v>877</v>
      </c>
      <c r="D73" s="3" t="s">
        <v>878</v>
      </c>
      <c r="E73" s="3" t="s">
        <v>844</v>
      </c>
      <c r="F73" s="3" t="s">
        <v>55</v>
      </c>
      <c r="G73" s="3" t="s">
        <v>39</v>
      </c>
      <c r="H73" s="3" t="s">
        <v>25</v>
      </c>
      <c r="I73" s="3">
        <v>6</v>
      </c>
      <c r="J73" s="3">
        <v>18399</v>
      </c>
      <c r="K73" s="3">
        <v>110394</v>
      </c>
      <c r="L73" s="3">
        <v>73812</v>
      </c>
      <c r="M73" s="3">
        <v>36582</v>
      </c>
      <c r="N73" s="3">
        <v>8</v>
      </c>
      <c r="O73" s="3" t="s">
        <v>875</v>
      </c>
      <c r="P73" s="3" t="s">
        <v>858</v>
      </c>
      <c r="Q73" s="3">
        <v>4.2</v>
      </c>
      <c r="R73" s="3" t="s">
        <v>847</v>
      </c>
    </row>
    <row r="74" spans="1:18" x14ac:dyDescent="0.3">
      <c r="A74" s="3" t="s">
        <v>948</v>
      </c>
      <c r="B74" s="3" t="s">
        <v>868</v>
      </c>
      <c r="C74" s="3" t="s">
        <v>877</v>
      </c>
      <c r="D74" s="3" t="s">
        <v>878</v>
      </c>
      <c r="E74" s="3" t="s">
        <v>844</v>
      </c>
      <c r="F74" s="3" t="s">
        <v>47</v>
      </c>
      <c r="G74" s="3" t="s">
        <v>59</v>
      </c>
      <c r="H74" s="3" t="s">
        <v>98</v>
      </c>
      <c r="I74" s="3">
        <v>7</v>
      </c>
      <c r="J74" s="3">
        <v>18735</v>
      </c>
      <c r="K74" s="3">
        <v>131145</v>
      </c>
      <c r="L74" s="3">
        <v>86863</v>
      </c>
      <c r="M74" s="3">
        <v>44282</v>
      </c>
      <c r="N74" s="3">
        <v>20</v>
      </c>
      <c r="O74" s="3" t="s">
        <v>865</v>
      </c>
      <c r="P74" s="3" t="s">
        <v>846</v>
      </c>
      <c r="Q74" s="3">
        <v>3.4</v>
      </c>
      <c r="R74" s="3" t="s">
        <v>861</v>
      </c>
    </row>
    <row r="75" spans="1:18" x14ac:dyDescent="0.3">
      <c r="A75" s="3" t="s">
        <v>949</v>
      </c>
      <c r="B75" s="3" t="s">
        <v>874</v>
      </c>
      <c r="C75" s="3" t="s">
        <v>877</v>
      </c>
      <c r="D75" s="3" t="s">
        <v>878</v>
      </c>
      <c r="E75" s="3" t="s">
        <v>844</v>
      </c>
      <c r="F75" s="3" t="s">
        <v>143</v>
      </c>
      <c r="G75" s="3" t="s">
        <v>81</v>
      </c>
      <c r="H75" s="3" t="s">
        <v>38</v>
      </c>
      <c r="I75" s="3">
        <v>8</v>
      </c>
      <c r="J75" s="3">
        <v>18425</v>
      </c>
      <c r="K75" s="3">
        <v>147400</v>
      </c>
      <c r="L75" s="3">
        <v>101728</v>
      </c>
      <c r="M75" s="3">
        <v>45672</v>
      </c>
      <c r="N75" s="3">
        <v>12</v>
      </c>
      <c r="O75" s="3" t="s">
        <v>845</v>
      </c>
      <c r="P75" s="3" t="s">
        <v>846</v>
      </c>
      <c r="Q75" s="3">
        <v>3.4</v>
      </c>
      <c r="R75" s="3" t="s">
        <v>861</v>
      </c>
    </row>
    <row r="76" spans="1:18" x14ac:dyDescent="0.3">
      <c r="A76" s="3" t="s">
        <v>950</v>
      </c>
      <c r="B76" s="3" t="s">
        <v>942</v>
      </c>
      <c r="C76" s="3" t="s">
        <v>863</v>
      </c>
      <c r="D76" s="3" t="s">
        <v>864</v>
      </c>
      <c r="E76" s="3" t="s">
        <v>844</v>
      </c>
      <c r="F76" s="3" t="s">
        <v>125</v>
      </c>
      <c r="G76" s="3" t="s">
        <v>81</v>
      </c>
      <c r="H76" s="3" t="s">
        <v>98</v>
      </c>
      <c r="I76" s="3">
        <v>15</v>
      </c>
      <c r="J76" s="3">
        <v>11265</v>
      </c>
      <c r="K76" s="3">
        <v>168975</v>
      </c>
      <c r="L76" s="3">
        <v>130455</v>
      </c>
      <c r="M76" s="3">
        <v>38520</v>
      </c>
      <c r="N76" s="3">
        <v>0</v>
      </c>
      <c r="O76" s="3" t="s">
        <v>865</v>
      </c>
      <c r="P76" s="3" t="s">
        <v>858</v>
      </c>
      <c r="Q76" s="3">
        <v>4.3</v>
      </c>
      <c r="R76" s="3" t="s">
        <v>861</v>
      </c>
    </row>
    <row r="77" spans="1:18" x14ac:dyDescent="0.3">
      <c r="A77" s="3" t="s">
        <v>951</v>
      </c>
      <c r="B77" s="3" t="s">
        <v>897</v>
      </c>
      <c r="C77" s="3" t="s">
        <v>842</v>
      </c>
      <c r="D77" s="3" t="s">
        <v>843</v>
      </c>
      <c r="E77" s="3" t="s">
        <v>844</v>
      </c>
      <c r="F77" s="3" t="s">
        <v>143</v>
      </c>
      <c r="G77" s="3" t="s">
        <v>81</v>
      </c>
      <c r="H77" s="3" t="s">
        <v>49</v>
      </c>
      <c r="I77" s="3">
        <v>1</v>
      </c>
      <c r="J77" s="3">
        <v>24524</v>
      </c>
      <c r="K77" s="3">
        <v>24524</v>
      </c>
      <c r="L77" s="3">
        <v>17712</v>
      </c>
      <c r="M77" s="3">
        <v>6812</v>
      </c>
      <c r="N77" s="3">
        <v>2</v>
      </c>
      <c r="O77" s="3" t="s">
        <v>865</v>
      </c>
      <c r="P77" s="3" t="s">
        <v>858</v>
      </c>
      <c r="Q77" s="3">
        <v>4</v>
      </c>
      <c r="R77" s="3" t="s">
        <v>861</v>
      </c>
    </row>
    <row r="78" spans="1:18" x14ac:dyDescent="0.3">
      <c r="A78" s="3" t="s">
        <v>952</v>
      </c>
      <c r="B78" s="3" t="s">
        <v>849</v>
      </c>
      <c r="C78" s="3" t="s">
        <v>850</v>
      </c>
      <c r="D78" s="3" t="s">
        <v>851</v>
      </c>
      <c r="E78" s="3" t="s">
        <v>844</v>
      </c>
      <c r="F78" s="3" t="s">
        <v>125</v>
      </c>
      <c r="G78" s="3" t="s">
        <v>59</v>
      </c>
      <c r="H78" s="3" t="s">
        <v>28</v>
      </c>
      <c r="I78" s="3">
        <v>3</v>
      </c>
      <c r="J78" s="3">
        <v>54662</v>
      </c>
      <c r="K78" s="3">
        <v>163986</v>
      </c>
      <c r="L78" s="3">
        <v>127992</v>
      </c>
      <c r="M78" s="3">
        <v>35994</v>
      </c>
      <c r="N78" s="3">
        <v>14</v>
      </c>
      <c r="O78" s="3" t="s">
        <v>845</v>
      </c>
      <c r="P78" s="3" t="s">
        <v>846</v>
      </c>
      <c r="Q78" s="3">
        <v>3.5</v>
      </c>
      <c r="R78" s="3" t="s">
        <v>861</v>
      </c>
    </row>
    <row r="79" spans="1:18" x14ac:dyDescent="0.3">
      <c r="A79" s="3" t="s">
        <v>953</v>
      </c>
      <c r="B79" s="3" t="s">
        <v>868</v>
      </c>
      <c r="C79" s="3" t="s">
        <v>863</v>
      </c>
      <c r="D79" s="3" t="s">
        <v>864</v>
      </c>
      <c r="E79" s="3" t="s">
        <v>844</v>
      </c>
      <c r="F79" s="3" t="s">
        <v>125</v>
      </c>
      <c r="G79" s="3" t="s">
        <v>59</v>
      </c>
      <c r="H79" s="3" t="s">
        <v>98</v>
      </c>
      <c r="I79" s="3">
        <v>7</v>
      </c>
      <c r="J79" s="3">
        <v>12821</v>
      </c>
      <c r="K79" s="3">
        <v>89747</v>
      </c>
      <c r="L79" s="3">
        <v>62475</v>
      </c>
      <c r="M79" s="3">
        <v>27272</v>
      </c>
      <c r="N79" s="3">
        <v>15</v>
      </c>
      <c r="O79" s="3" t="s">
        <v>865</v>
      </c>
      <c r="P79" s="3" t="s">
        <v>866</v>
      </c>
      <c r="Q79" s="3">
        <v>3.8</v>
      </c>
      <c r="R79" s="3" t="s">
        <v>847</v>
      </c>
    </row>
    <row r="80" spans="1:18" x14ac:dyDescent="0.3">
      <c r="A80" s="3" t="s">
        <v>954</v>
      </c>
      <c r="B80" s="3" t="s">
        <v>942</v>
      </c>
      <c r="C80" s="3" t="s">
        <v>863</v>
      </c>
      <c r="D80" s="3" t="s">
        <v>864</v>
      </c>
      <c r="E80" s="3" t="s">
        <v>844</v>
      </c>
      <c r="F80" s="3" t="s">
        <v>75</v>
      </c>
      <c r="G80" s="3" t="s">
        <v>39</v>
      </c>
      <c r="H80" s="3" t="s">
        <v>28</v>
      </c>
      <c r="I80" s="3">
        <v>15</v>
      </c>
      <c r="J80" s="3">
        <v>11254</v>
      </c>
      <c r="K80" s="3">
        <v>168810</v>
      </c>
      <c r="L80" s="3">
        <v>135450</v>
      </c>
      <c r="M80" s="3">
        <v>33360</v>
      </c>
      <c r="N80" s="3">
        <v>13</v>
      </c>
      <c r="O80" s="3" t="s">
        <v>845</v>
      </c>
      <c r="P80" s="3" t="s">
        <v>858</v>
      </c>
      <c r="Q80" s="3">
        <v>4</v>
      </c>
      <c r="R80" s="3" t="s">
        <v>861</v>
      </c>
    </row>
    <row r="81" spans="1:18" x14ac:dyDescent="0.3">
      <c r="A81" s="3" t="s">
        <v>955</v>
      </c>
      <c r="B81" s="3" t="s">
        <v>888</v>
      </c>
      <c r="C81" s="3" t="s">
        <v>842</v>
      </c>
      <c r="D81" s="3" t="s">
        <v>843</v>
      </c>
      <c r="E81" s="3" t="s">
        <v>844</v>
      </c>
      <c r="F81" s="3" t="s">
        <v>68</v>
      </c>
      <c r="G81" s="3" t="s">
        <v>26</v>
      </c>
      <c r="H81" s="3" t="s">
        <v>25</v>
      </c>
      <c r="I81" s="3">
        <v>11</v>
      </c>
      <c r="J81" s="3">
        <v>25430</v>
      </c>
      <c r="K81" s="3">
        <v>279730</v>
      </c>
      <c r="L81" s="3">
        <v>190960</v>
      </c>
      <c r="M81" s="3">
        <v>88770</v>
      </c>
      <c r="N81" s="3">
        <v>19</v>
      </c>
      <c r="O81" s="3" t="s">
        <v>845</v>
      </c>
      <c r="P81" s="3" t="s">
        <v>855</v>
      </c>
      <c r="Q81" s="3">
        <v>3.7</v>
      </c>
      <c r="R81" s="3" t="s">
        <v>861</v>
      </c>
    </row>
    <row r="82" spans="1:18" x14ac:dyDescent="0.3">
      <c r="A82" s="3" t="s">
        <v>956</v>
      </c>
      <c r="B82" s="3" t="s">
        <v>907</v>
      </c>
      <c r="C82" s="3" t="s">
        <v>842</v>
      </c>
      <c r="D82" s="3" t="s">
        <v>843</v>
      </c>
      <c r="E82" s="3" t="s">
        <v>844</v>
      </c>
      <c r="F82" s="3" t="s">
        <v>79</v>
      </c>
      <c r="G82" s="3" t="s">
        <v>81</v>
      </c>
      <c r="H82" s="3" t="s">
        <v>27</v>
      </c>
      <c r="I82" s="3">
        <v>7</v>
      </c>
      <c r="J82" s="3">
        <v>25300</v>
      </c>
      <c r="K82" s="3">
        <v>177100</v>
      </c>
      <c r="L82" s="3">
        <v>125454</v>
      </c>
      <c r="M82" s="3">
        <v>51646</v>
      </c>
      <c r="N82" s="3">
        <v>10</v>
      </c>
      <c r="O82" s="3" t="s">
        <v>875</v>
      </c>
      <c r="P82" s="3" t="s">
        <v>858</v>
      </c>
      <c r="Q82" s="3">
        <v>3.4</v>
      </c>
      <c r="R82" s="3" t="s">
        <v>861</v>
      </c>
    </row>
    <row r="83" spans="1:18" x14ac:dyDescent="0.3">
      <c r="A83" s="3" t="s">
        <v>957</v>
      </c>
      <c r="B83" s="3" t="s">
        <v>868</v>
      </c>
      <c r="C83" s="3" t="s">
        <v>870</v>
      </c>
      <c r="D83" s="3" t="s">
        <v>871</v>
      </c>
      <c r="E83" s="3" t="s">
        <v>872</v>
      </c>
      <c r="F83" s="3" t="s">
        <v>125</v>
      </c>
      <c r="G83" s="3" t="s">
        <v>59</v>
      </c>
      <c r="H83" s="3" t="s">
        <v>49</v>
      </c>
      <c r="I83" s="3">
        <v>11</v>
      </c>
      <c r="J83" s="3">
        <v>4661</v>
      </c>
      <c r="K83" s="3">
        <v>51271</v>
      </c>
      <c r="L83" s="3">
        <v>36498</v>
      </c>
      <c r="M83" s="3">
        <v>14773</v>
      </c>
      <c r="N83" s="3">
        <v>6</v>
      </c>
      <c r="O83" s="3" t="s">
        <v>865</v>
      </c>
      <c r="P83" s="3" t="s">
        <v>855</v>
      </c>
      <c r="Q83" s="3">
        <v>4.2</v>
      </c>
      <c r="R83" s="3" t="s">
        <v>861</v>
      </c>
    </row>
    <row r="84" spans="1:18" x14ac:dyDescent="0.3">
      <c r="A84" s="3" t="s">
        <v>958</v>
      </c>
      <c r="B84" s="3" t="s">
        <v>841</v>
      </c>
      <c r="C84" s="3" t="s">
        <v>889</v>
      </c>
      <c r="D84" s="3" t="s">
        <v>890</v>
      </c>
      <c r="E84" s="3" t="s">
        <v>872</v>
      </c>
      <c r="F84" s="3" t="s">
        <v>125</v>
      </c>
      <c r="G84" s="3" t="s">
        <v>59</v>
      </c>
      <c r="H84" s="3" t="s">
        <v>38</v>
      </c>
      <c r="I84" s="3">
        <v>1</v>
      </c>
      <c r="J84" s="3">
        <v>10697</v>
      </c>
      <c r="K84" s="3">
        <v>10697</v>
      </c>
      <c r="L84" s="3">
        <v>6733</v>
      </c>
      <c r="M84" s="3">
        <v>3964</v>
      </c>
      <c r="N84" s="3">
        <v>9</v>
      </c>
      <c r="O84" s="3" t="s">
        <v>845</v>
      </c>
      <c r="P84" s="3" t="s">
        <v>846</v>
      </c>
      <c r="Q84" s="3">
        <v>4.5</v>
      </c>
      <c r="R84" s="3" t="s">
        <v>847</v>
      </c>
    </row>
    <row r="85" spans="1:18" x14ac:dyDescent="0.3">
      <c r="A85" s="3" t="s">
        <v>959</v>
      </c>
      <c r="B85" s="3" t="s">
        <v>874</v>
      </c>
      <c r="C85" s="3" t="s">
        <v>842</v>
      </c>
      <c r="D85" s="3" t="s">
        <v>843</v>
      </c>
      <c r="E85" s="3" t="s">
        <v>844</v>
      </c>
      <c r="F85" s="3" t="s">
        <v>143</v>
      </c>
      <c r="G85" s="3" t="s">
        <v>26</v>
      </c>
      <c r="H85" s="3" t="s">
        <v>25</v>
      </c>
      <c r="I85" s="3">
        <v>14</v>
      </c>
      <c r="J85" s="3">
        <v>25683</v>
      </c>
      <c r="K85" s="3">
        <v>359562</v>
      </c>
      <c r="L85" s="3">
        <v>254058</v>
      </c>
      <c r="M85" s="3">
        <v>105504</v>
      </c>
      <c r="N85" s="3">
        <v>2</v>
      </c>
      <c r="O85" s="3" t="s">
        <v>865</v>
      </c>
      <c r="P85" s="3" t="s">
        <v>858</v>
      </c>
      <c r="Q85" s="3">
        <v>3.1</v>
      </c>
      <c r="R85" s="3" t="s">
        <v>847</v>
      </c>
    </row>
    <row r="86" spans="1:18" x14ac:dyDescent="0.3">
      <c r="A86" s="3" t="s">
        <v>960</v>
      </c>
      <c r="B86" s="3" t="s">
        <v>886</v>
      </c>
      <c r="C86" s="3" t="s">
        <v>863</v>
      </c>
      <c r="D86" s="3" t="s">
        <v>864</v>
      </c>
      <c r="E86" s="3" t="s">
        <v>844</v>
      </c>
      <c r="F86" s="3" t="s">
        <v>125</v>
      </c>
      <c r="G86" s="3" t="s">
        <v>59</v>
      </c>
      <c r="H86" s="3" t="s">
        <v>25</v>
      </c>
      <c r="I86" s="3">
        <v>9</v>
      </c>
      <c r="J86" s="3">
        <v>11268</v>
      </c>
      <c r="K86" s="3">
        <v>101412</v>
      </c>
      <c r="L86" s="3">
        <v>77157</v>
      </c>
      <c r="M86" s="3">
        <v>24255</v>
      </c>
      <c r="N86" s="3">
        <v>14</v>
      </c>
      <c r="O86" s="3" t="s">
        <v>854</v>
      </c>
      <c r="P86" s="3" t="s">
        <v>866</v>
      </c>
      <c r="Q86" s="3">
        <v>4.3</v>
      </c>
      <c r="R86" s="3" t="s">
        <v>861</v>
      </c>
    </row>
    <row r="87" spans="1:18" x14ac:dyDescent="0.3">
      <c r="A87" s="3" t="s">
        <v>961</v>
      </c>
      <c r="B87" s="3" t="s">
        <v>886</v>
      </c>
      <c r="C87" s="3" t="s">
        <v>870</v>
      </c>
      <c r="D87" s="3" t="s">
        <v>871</v>
      </c>
      <c r="E87" s="3" t="s">
        <v>872</v>
      </c>
      <c r="F87" s="3" t="s">
        <v>47</v>
      </c>
      <c r="G87" s="3" t="s">
        <v>81</v>
      </c>
      <c r="H87" s="3" t="s">
        <v>49</v>
      </c>
      <c r="I87" s="3">
        <v>10</v>
      </c>
      <c r="J87" s="3">
        <v>4213</v>
      </c>
      <c r="K87" s="3">
        <v>42130</v>
      </c>
      <c r="L87" s="3">
        <v>31140</v>
      </c>
      <c r="M87" s="3">
        <v>10990</v>
      </c>
      <c r="N87" s="3">
        <v>20</v>
      </c>
      <c r="O87" s="3" t="s">
        <v>865</v>
      </c>
      <c r="P87" s="3" t="s">
        <v>866</v>
      </c>
      <c r="Q87" s="3">
        <v>3</v>
      </c>
      <c r="R87" s="3" t="s">
        <v>861</v>
      </c>
    </row>
    <row r="88" spans="1:18" x14ac:dyDescent="0.3">
      <c r="A88" s="3" t="s">
        <v>962</v>
      </c>
      <c r="B88" s="3" t="s">
        <v>874</v>
      </c>
      <c r="C88" s="3" t="s">
        <v>850</v>
      </c>
      <c r="D88" s="3" t="s">
        <v>851</v>
      </c>
      <c r="E88" s="3" t="s">
        <v>844</v>
      </c>
      <c r="F88" s="3" t="s">
        <v>68</v>
      </c>
      <c r="G88" s="3" t="s">
        <v>26</v>
      </c>
      <c r="H88" s="3" t="s">
        <v>25</v>
      </c>
      <c r="I88" s="3">
        <v>1</v>
      </c>
      <c r="J88" s="3">
        <v>54346</v>
      </c>
      <c r="K88" s="3">
        <v>54346</v>
      </c>
      <c r="L88" s="3">
        <v>41350</v>
      </c>
      <c r="M88" s="3">
        <v>12996</v>
      </c>
      <c r="N88" s="3">
        <v>12</v>
      </c>
      <c r="O88" s="3" t="s">
        <v>875</v>
      </c>
      <c r="P88" s="3" t="s">
        <v>846</v>
      </c>
      <c r="Q88" s="3">
        <v>4.9000000000000004</v>
      </c>
      <c r="R88" s="3" t="s">
        <v>861</v>
      </c>
    </row>
    <row r="89" spans="1:18" x14ac:dyDescent="0.3">
      <c r="A89" s="3" t="s">
        <v>963</v>
      </c>
      <c r="B89" s="3" t="s">
        <v>907</v>
      </c>
      <c r="C89" s="3" t="s">
        <v>889</v>
      </c>
      <c r="D89" s="3" t="s">
        <v>890</v>
      </c>
      <c r="E89" s="3" t="s">
        <v>872</v>
      </c>
      <c r="F89" s="3" t="s">
        <v>68</v>
      </c>
      <c r="G89" s="3" t="s">
        <v>81</v>
      </c>
      <c r="H89" s="3" t="s">
        <v>38</v>
      </c>
      <c r="I89" s="3">
        <v>3</v>
      </c>
      <c r="J89" s="3">
        <v>11000</v>
      </c>
      <c r="K89" s="3">
        <v>33000</v>
      </c>
      <c r="L89" s="3">
        <v>22992</v>
      </c>
      <c r="M89" s="3">
        <v>10008</v>
      </c>
      <c r="N89" s="3">
        <v>1</v>
      </c>
      <c r="O89" s="3" t="s">
        <v>865</v>
      </c>
      <c r="P89" s="3" t="s">
        <v>866</v>
      </c>
      <c r="Q89" s="3">
        <v>4.2</v>
      </c>
      <c r="R89" s="3" t="s">
        <v>847</v>
      </c>
    </row>
    <row r="90" spans="1:18" x14ac:dyDescent="0.3">
      <c r="A90" s="3" t="s">
        <v>964</v>
      </c>
      <c r="B90" s="3" t="s">
        <v>868</v>
      </c>
      <c r="C90" s="3" t="s">
        <v>842</v>
      </c>
      <c r="D90" s="3" t="s">
        <v>843</v>
      </c>
      <c r="E90" s="3" t="s">
        <v>844</v>
      </c>
      <c r="F90" s="3" t="s">
        <v>75</v>
      </c>
      <c r="G90" s="3" t="s">
        <v>81</v>
      </c>
      <c r="H90" s="3" t="s">
        <v>38</v>
      </c>
      <c r="I90" s="3">
        <v>6</v>
      </c>
      <c r="J90" s="3">
        <v>24841</v>
      </c>
      <c r="K90" s="3">
        <v>149046</v>
      </c>
      <c r="L90" s="3">
        <v>108804</v>
      </c>
      <c r="M90" s="3">
        <v>40242</v>
      </c>
      <c r="N90" s="3">
        <v>16</v>
      </c>
      <c r="O90" s="3" t="s">
        <v>854</v>
      </c>
      <c r="P90" s="3" t="s">
        <v>846</v>
      </c>
      <c r="Q90" s="3">
        <v>4.9000000000000004</v>
      </c>
      <c r="R90" s="3" t="s">
        <v>847</v>
      </c>
    </row>
    <row r="91" spans="1:18" x14ac:dyDescent="0.3">
      <c r="A91" s="3" t="s">
        <v>965</v>
      </c>
      <c r="B91" s="3" t="s">
        <v>857</v>
      </c>
      <c r="C91" s="3" t="s">
        <v>842</v>
      </c>
      <c r="D91" s="3" t="s">
        <v>843</v>
      </c>
      <c r="E91" s="3" t="s">
        <v>844</v>
      </c>
      <c r="F91" s="3" t="s">
        <v>79</v>
      </c>
      <c r="G91" s="3" t="s">
        <v>59</v>
      </c>
      <c r="H91" s="3" t="s">
        <v>98</v>
      </c>
      <c r="I91" s="3">
        <v>14</v>
      </c>
      <c r="J91" s="3">
        <v>25768</v>
      </c>
      <c r="K91" s="3">
        <v>360752</v>
      </c>
      <c r="L91" s="3">
        <v>245378</v>
      </c>
      <c r="M91" s="3">
        <v>115374</v>
      </c>
      <c r="N91" s="3">
        <v>19</v>
      </c>
      <c r="O91" s="3" t="s">
        <v>854</v>
      </c>
      <c r="P91" s="3" t="s">
        <v>855</v>
      </c>
      <c r="Q91" s="3">
        <v>3.7</v>
      </c>
      <c r="R91" s="3" t="s">
        <v>861</v>
      </c>
    </row>
    <row r="92" spans="1:18" x14ac:dyDescent="0.3">
      <c r="A92" s="3" t="s">
        <v>966</v>
      </c>
      <c r="B92" s="3" t="s">
        <v>874</v>
      </c>
      <c r="C92" s="3" t="s">
        <v>870</v>
      </c>
      <c r="D92" s="3" t="s">
        <v>871</v>
      </c>
      <c r="E92" s="3" t="s">
        <v>872</v>
      </c>
      <c r="F92" s="3" t="s">
        <v>136</v>
      </c>
      <c r="G92" s="3" t="s">
        <v>59</v>
      </c>
      <c r="H92" s="3" t="s">
        <v>49</v>
      </c>
      <c r="I92" s="3">
        <v>1</v>
      </c>
      <c r="J92" s="3">
        <v>4127</v>
      </c>
      <c r="K92" s="3">
        <v>4127</v>
      </c>
      <c r="L92" s="3">
        <v>3536</v>
      </c>
      <c r="M92" s="3">
        <v>591</v>
      </c>
      <c r="N92" s="3">
        <v>5</v>
      </c>
      <c r="O92" s="3" t="s">
        <v>854</v>
      </c>
      <c r="P92" s="3" t="s">
        <v>855</v>
      </c>
      <c r="Q92" s="3">
        <v>3.3</v>
      </c>
      <c r="R92" s="3" t="s">
        <v>847</v>
      </c>
    </row>
    <row r="93" spans="1:18" x14ac:dyDescent="0.3">
      <c r="A93" s="3" t="s">
        <v>967</v>
      </c>
      <c r="B93" s="3" t="s">
        <v>897</v>
      </c>
      <c r="C93" s="3" t="s">
        <v>889</v>
      </c>
      <c r="D93" s="3" t="s">
        <v>890</v>
      </c>
      <c r="E93" s="3" t="s">
        <v>872</v>
      </c>
      <c r="F93" s="3" t="s">
        <v>136</v>
      </c>
      <c r="G93" s="3" t="s">
        <v>39</v>
      </c>
      <c r="H93" s="3" t="s">
        <v>28</v>
      </c>
      <c r="I93" s="3">
        <v>14</v>
      </c>
      <c r="J93" s="3">
        <v>10134</v>
      </c>
      <c r="K93" s="3">
        <v>141876</v>
      </c>
      <c r="L93" s="3">
        <v>94864</v>
      </c>
      <c r="M93" s="3">
        <v>47012</v>
      </c>
      <c r="N93" s="3">
        <v>19</v>
      </c>
      <c r="O93" s="3" t="s">
        <v>865</v>
      </c>
      <c r="P93" s="3" t="s">
        <v>846</v>
      </c>
      <c r="Q93" s="3">
        <v>3</v>
      </c>
      <c r="R93" s="3" t="s">
        <v>861</v>
      </c>
    </row>
    <row r="94" spans="1:18" x14ac:dyDescent="0.3">
      <c r="A94" s="3" t="s">
        <v>968</v>
      </c>
      <c r="B94" s="3" t="s">
        <v>897</v>
      </c>
      <c r="C94" s="3" t="s">
        <v>842</v>
      </c>
      <c r="D94" s="3" t="s">
        <v>843</v>
      </c>
      <c r="E94" s="3" t="s">
        <v>844</v>
      </c>
      <c r="F94" s="3" t="s">
        <v>143</v>
      </c>
      <c r="G94" s="3" t="s">
        <v>26</v>
      </c>
      <c r="H94" s="3" t="s">
        <v>28</v>
      </c>
      <c r="I94" s="3">
        <v>1</v>
      </c>
      <c r="J94" s="3">
        <v>25594</v>
      </c>
      <c r="K94" s="3">
        <v>25594</v>
      </c>
      <c r="L94" s="3">
        <v>17604</v>
      </c>
      <c r="M94" s="3">
        <v>7990</v>
      </c>
      <c r="N94" s="3">
        <v>19</v>
      </c>
      <c r="O94" s="3" t="s">
        <v>875</v>
      </c>
      <c r="P94" s="3" t="s">
        <v>855</v>
      </c>
      <c r="Q94" s="3">
        <v>4.8</v>
      </c>
      <c r="R94" s="3" t="s">
        <v>847</v>
      </c>
    </row>
    <row r="95" spans="1:18" x14ac:dyDescent="0.3">
      <c r="A95" s="3" t="s">
        <v>969</v>
      </c>
      <c r="B95" s="3" t="s">
        <v>849</v>
      </c>
      <c r="C95" s="3" t="s">
        <v>842</v>
      </c>
      <c r="D95" s="3" t="s">
        <v>843</v>
      </c>
      <c r="E95" s="3" t="s">
        <v>844</v>
      </c>
      <c r="F95" s="3" t="s">
        <v>136</v>
      </c>
      <c r="G95" s="3" t="s">
        <v>81</v>
      </c>
      <c r="H95" s="3" t="s">
        <v>49</v>
      </c>
      <c r="I95" s="3">
        <v>2</v>
      </c>
      <c r="J95" s="3">
        <v>25980</v>
      </c>
      <c r="K95" s="3">
        <v>51960</v>
      </c>
      <c r="L95" s="3">
        <v>36264</v>
      </c>
      <c r="M95" s="3">
        <v>15696</v>
      </c>
      <c r="N95" s="3">
        <v>11</v>
      </c>
      <c r="O95" s="3" t="s">
        <v>845</v>
      </c>
      <c r="P95" s="3" t="s">
        <v>858</v>
      </c>
      <c r="Q95" s="3">
        <v>4.4000000000000004</v>
      </c>
      <c r="R95" s="3" t="s">
        <v>847</v>
      </c>
    </row>
    <row r="96" spans="1:18" x14ac:dyDescent="0.3">
      <c r="A96" s="3" t="s">
        <v>970</v>
      </c>
      <c r="B96" s="3" t="s">
        <v>841</v>
      </c>
      <c r="C96" s="3" t="s">
        <v>877</v>
      </c>
      <c r="D96" s="3" t="s">
        <v>878</v>
      </c>
      <c r="E96" s="3" t="s">
        <v>844</v>
      </c>
      <c r="F96" s="3" t="s">
        <v>68</v>
      </c>
      <c r="G96" s="3" t="s">
        <v>39</v>
      </c>
      <c r="H96" s="3" t="s">
        <v>98</v>
      </c>
      <c r="I96" s="3">
        <v>13</v>
      </c>
      <c r="J96" s="3">
        <v>17942</v>
      </c>
      <c r="K96" s="3">
        <v>233246</v>
      </c>
      <c r="L96" s="3">
        <v>169403</v>
      </c>
      <c r="M96" s="3">
        <v>63843</v>
      </c>
      <c r="N96" s="3">
        <v>9</v>
      </c>
      <c r="O96" s="3" t="s">
        <v>845</v>
      </c>
      <c r="P96" s="3" t="s">
        <v>846</v>
      </c>
      <c r="Q96" s="3">
        <v>3</v>
      </c>
      <c r="R96" s="3" t="s">
        <v>847</v>
      </c>
    </row>
    <row r="97" spans="1:18" x14ac:dyDescent="0.3">
      <c r="A97" s="3" t="s">
        <v>971</v>
      </c>
      <c r="B97" s="3" t="s">
        <v>942</v>
      </c>
      <c r="C97" s="3" t="s">
        <v>850</v>
      </c>
      <c r="D97" s="3" t="s">
        <v>851</v>
      </c>
      <c r="E97" s="3" t="s">
        <v>844</v>
      </c>
      <c r="F97" s="3" t="s">
        <v>79</v>
      </c>
      <c r="G97" s="3" t="s">
        <v>81</v>
      </c>
      <c r="H97" s="3" t="s">
        <v>25</v>
      </c>
      <c r="I97" s="3">
        <v>4</v>
      </c>
      <c r="J97" s="3">
        <v>54620</v>
      </c>
      <c r="K97" s="3">
        <v>218480</v>
      </c>
      <c r="L97" s="3">
        <v>165536</v>
      </c>
      <c r="M97" s="3">
        <v>52944</v>
      </c>
      <c r="N97" s="3">
        <v>0</v>
      </c>
      <c r="O97" s="3" t="s">
        <v>865</v>
      </c>
      <c r="P97" s="3" t="s">
        <v>866</v>
      </c>
      <c r="Q97" s="3">
        <v>3.2</v>
      </c>
      <c r="R97" s="3" t="s">
        <v>847</v>
      </c>
    </row>
    <row r="98" spans="1:18" x14ac:dyDescent="0.3">
      <c r="A98" s="3" t="s">
        <v>972</v>
      </c>
      <c r="B98" s="3" t="s">
        <v>849</v>
      </c>
      <c r="C98" s="3" t="s">
        <v>842</v>
      </c>
      <c r="D98" s="3" t="s">
        <v>843</v>
      </c>
      <c r="E98" s="3" t="s">
        <v>844</v>
      </c>
      <c r="F98" s="3" t="s">
        <v>75</v>
      </c>
      <c r="G98" s="3" t="s">
        <v>39</v>
      </c>
      <c r="H98" s="3" t="s">
        <v>98</v>
      </c>
      <c r="I98" s="3">
        <v>4</v>
      </c>
      <c r="J98" s="3">
        <v>24733</v>
      </c>
      <c r="K98" s="3">
        <v>98932</v>
      </c>
      <c r="L98" s="3">
        <v>74596</v>
      </c>
      <c r="M98" s="3">
        <v>24336</v>
      </c>
      <c r="N98" s="3">
        <v>14</v>
      </c>
      <c r="O98" s="3" t="s">
        <v>845</v>
      </c>
      <c r="P98" s="3" t="s">
        <v>846</v>
      </c>
      <c r="Q98" s="3">
        <v>3.5</v>
      </c>
      <c r="R98" s="3" t="s">
        <v>847</v>
      </c>
    </row>
    <row r="99" spans="1:18" x14ac:dyDescent="0.3">
      <c r="A99" s="3" t="s">
        <v>973</v>
      </c>
      <c r="B99" s="3" t="s">
        <v>868</v>
      </c>
      <c r="C99" s="3" t="s">
        <v>889</v>
      </c>
      <c r="D99" s="3" t="s">
        <v>890</v>
      </c>
      <c r="E99" s="3" t="s">
        <v>872</v>
      </c>
      <c r="F99" s="3" t="s">
        <v>55</v>
      </c>
      <c r="G99" s="3" t="s">
        <v>39</v>
      </c>
      <c r="H99" s="3" t="s">
        <v>28</v>
      </c>
      <c r="I99" s="3">
        <v>1</v>
      </c>
      <c r="J99" s="3">
        <v>9942</v>
      </c>
      <c r="K99" s="3">
        <v>9942</v>
      </c>
      <c r="L99" s="3">
        <v>6350</v>
      </c>
      <c r="M99" s="3">
        <v>3592</v>
      </c>
      <c r="N99" s="3">
        <v>19</v>
      </c>
      <c r="O99" s="3" t="s">
        <v>865</v>
      </c>
      <c r="P99" s="3" t="s">
        <v>866</v>
      </c>
      <c r="Q99" s="3">
        <v>4.9000000000000004</v>
      </c>
      <c r="R99" s="3" t="s">
        <v>847</v>
      </c>
    </row>
    <row r="100" spans="1:18" x14ac:dyDescent="0.3">
      <c r="A100" s="3" t="s">
        <v>974</v>
      </c>
      <c r="B100" s="3" t="s">
        <v>874</v>
      </c>
      <c r="C100" s="3" t="s">
        <v>842</v>
      </c>
      <c r="D100" s="3" t="s">
        <v>843</v>
      </c>
      <c r="E100" s="3" t="s">
        <v>844</v>
      </c>
      <c r="F100" s="3" t="s">
        <v>143</v>
      </c>
      <c r="G100" s="3" t="s">
        <v>39</v>
      </c>
      <c r="H100" s="3" t="s">
        <v>27</v>
      </c>
      <c r="I100" s="3">
        <v>4</v>
      </c>
      <c r="J100" s="3">
        <v>25604</v>
      </c>
      <c r="K100" s="3">
        <v>102416</v>
      </c>
      <c r="L100" s="3">
        <v>69792</v>
      </c>
      <c r="M100" s="3">
        <v>32624</v>
      </c>
      <c r="N100" s="3">
        <v>11</v>
      </c>
      <c r="O100" s="3" t="s">
        <v>865</v>
      </c>
      <c r="P100" s="3" t="s">
        <v>858</v>
      </c>
      <c r="Q100" s="3">
        <v>3.6</v>
      </c>
      <c r="R100" s="3" t="s">
        <v>861</v>
      </c>
    </row>
    <row r="101" spans="1:18" x14ac:dyDescent="0.3">
      <c r="A101" s="3" t="s">
        <v>975</v>
      </c>
      <c r="B101" s="3" t="s">
        <v>849</v>
      </c>
      <c r="C101" s="3" t="s">
        <v>842</v>
      </c>
      <c r="D101" s="3" t="s">
        <v>843</v>
      </c>
      <c r="E101" s="3" t="s">
        <v>844</v>
      </c>
      <c r="F101" s="3" t="s">
        <v>143</v>
      </c>
      <c r="G101" s="3" t="s">
        <v>59</v>
      </c>
      <c r="H101" s="3" t="s">
        <v>28</v>
      </c>
      <c r="I101" s="3">
        <v>8</v>
      </c>
      <c r="J101" s="3">
        <v>25815</v>
      </c>
      <c r="K101" s="3">
        <v>206520</v>
      </c>
      <c r="L101" s="3">
        <v>144384</v>
      </c>
      <c r="M101" s="3">
        <v>62136</v>
      </c>
      <c r="N101" s="3">
        <v>18</v>
      </c>
      <c r="O101" s="3" t="s">
        <v>865</v>
      </c>
      <c r="P101" s="3" t="s">
        <v>858</v>
      </c>
      <c r="Q101" s="3">
        <v>3.7</v>
      </c>
      <c r="R101" s="3" t="s">
        <v>861</v>
      </c>
    </row>
    <row r="102" spans="1:18" x14ac:dyDescent="0.3">
      <c r="A102" s="3" t="s">
        <v>976</v>
      </c>
      <c r="B102" s="3" t="s">
        <v>907</v>
      </c>
      <c r="C102" s="3" t="s">
        <v>870</v>
      </c>
      <c r="D102" s="3" t="s">
        <v>871</v>
      </c>
      <c r="E102" s="3" t="s">
        <v>872</v>
      </c>
      <c r="F102" s="3" t="s">
        <v>125</v>
      </c>
      <c r="G102" s="3" t="s">
        <v>81</v>
      </c>
      <c r="H102" s="3" t="s">
        <v>38</v>
      </c>
      <c r="I102" s="3">
        <v>10</v>
      </c>
      <c r="J102" s="3">
        <v>4076</v>
      </c>
      <c r="K102" s="3">
        <v>40760</v>
      </c>
      <c r="L102" s="3">
        <v>36530</v>
      </c>
      <c r="M102" s="3">
        <v>4230</v>
      </c>
      <c r="N102" s="3">
        <v>13</v>
      </c>
      <c r="O102" s="3" t="s">
        <v>865</v>
      </c>
      <c r="P102" s="3" t="s">
        <v>846</v>
      </c>
      <c r="Q102" s="3">
        <v>3.8</v>
      </c>
      <c r="R102" s="3" t="s">
        <v>861</v>
      </c>
    </row>
    <row r="103" spans="1:18" x14ac:dyDescent="0.3">
      <c r="A103" s="3" t="s">
        <v>977</v>
      </c>
      <c r="B103" s="3" t="s">
        <v>884</v>
      </c>
      <c r="C103" s="3" t="s">
        <v>870</v>
      </c>
      <c r="D103" s="3" t="s">
        <v>871</v>
      </c>
      <c r="E103" s="3" t="s">
        <v>872</v>
      </c>
      <c r="F103" s="3" t="s">
        <v>79</v>
      </c>
      <c r="G103" s="3" t="s">
        <v>81</v>
      </c>
      <c r="H103" s="3" t="s">
        <v>27</v>
      </c>
      <c r="I103" s="3">
        <v>1</v>
      </c>
      <c r="J103" s="3">
        <v>6298</v>
      </c>
      <c r="K103" s="3">
        <v>6298</v>
      </c>
      <c r="L103" s="3">
        <v>3020</v>
      </c>
      <c r="M103" s="3">
        <v>3278</v>
      </c>
      <c r="N103" s="3">
        <v>20</v>
      </c>
      <c r="O103" s="3" t="s">
        <v>875</v>
      </c>
      <c r="P103" s="3" t="s">
        <v>855</v>
      </c>
      <c r="Q103" s="3">
        <v>3.3</v>
      </c>
      <c r="R103" s="3" t="s">
        <v>847</v>
      </c>
    </row>
    <row r="104" spans="1:18" x14ac:dyDescent="0.3">
      <c r="A104" s="3" t="s">
        <v>978</v>
      </c>
      <c r="B104" s="3" t="s">
        <v>888</v>
      </c>
      <c r="C104" s="3" t="s">
        <v>889</v>
      </c>
      <c r="D104" s="3" t="s">
        <v>890</v>
      </c>
      <c r="E104" s="3" t="s">
        <v>872</v>
      </c>
      <c r="F104" s="3" t="s">
        <v>143</v>
      </c>
      <c r="G104" s="3" t="s">
        <v>81</v>
      </c>
      <c r="H104" s="3" t="s">
        <v>25</v>
      </c>
      <c r="I104" s="3">
        <v>14</v>
      </c>
      <c r="J104" s="3">
        <v>11047</v>
      </c>
      <c r="K104" s="3">
        <v>154658</v>
      </c>
      <c r="L104" s="3">
        <v>96796</v>
      </c>
      <c r="M104" s="3">
        <v>57862</v>
      </c>
      <c r="N104" s="3">
        <v>12</v>
      </c>
      <c r="O104" s="3" t="s">
        <v>865</v>
      </c>
      <c r="P104" s="3" t="s">
        <v>858</v>
      </c>
      <c r="Q104" s="3">
        <v>4.7</v>
      </c>
      <c r="R104" s="3" t="s">
        <v>861</v>
      </c>
    </row>
    <row r="105" spans="1:18" x14ac:dyDescent="0.3">
      <c r="A105" s="3" t="s">
        <v>979</v>
      </c>
      <c r="B105" s="3" t="s">
        <v>849</v>
      </c>
      <c r="C105" s="3" t="s">
        <v>877</v>
      </c>
      <c r="D105" s="3" t="s">
        <v>878</v>
      </c>
      <c r="E105" s="3" t="s">
        <v>844</v>
      </c>
      <c r="F105" s="3" t="s">
        <v>75</v>
      </c>
      <c r="G105" s="3" t="s">
        <v>81</v>
      </c>
      <c r="H105" s="3" t="s">
        <v>38</v>
      </c>
      <c r="I105" s="3">
        <v>5</v>
      </c>
      <c r="J105" s="3">
        <v>18724</v>
      </c>
      <c r="K105" s="3">
        <v>93620</v>
      </c>
      <c r="L105" s="3">
        <v>63535</v>
      </c>
      <c r="M105" s="3">
        <v>30085</v>
      </c>
      <c r="N105" s="3">
        <v>12</v>
      </c>
      <c r="O105" s="3" t="s">
        <v>845</v>
      </c>
      <c r="P105" s="3" t="s">
        <v>846</v>
      </c>
      <c r="Q105" s="3">
        <v>5</v>
      </c>
      <c r="R105" s="3" t="s">
        <v>847</v>
      </c>
    </row>
    <row r="106" spans="1:18" x14ac:dyDescent="0.3">
      <c r="A106" s="3" t="s">
        <v>980</v>
      </c>
      <c r="B106" s="3" t="s">
        <v>907</v>
      </c>
      <c r="C106" s="3" t="s">
        <v>842</v>
      </c>
      <c r="D106" s="3" t="s">
        <v>843</v>
      </c>
      <c r="E106" s="3" t="s">
        <v>844</v>
      </c>
      <c r="F106" s="3" t="s">
        <v>79</v>
      </c>
      <c r="G106" s="3" t="s">
        <v>81</v>
      </c>
      <c r="H106" s="3" t="s">
        <v>28</v>
      </c>
      <c r="I106" s="3">
        <v>2</v>
      </c>
      <c r="J106" s="3">
        <v>25693</v>
      </c>
      <c r="K106" s="3">
        <v>51386</v>
      </c>
      <c r="L106" s="3">
        <v>34992</v>
      </c>
      <c r="M106" s="3">
        <v>16394</v>
      </c>
      <c r="N106" s="3">
        <v>14</v>
      </c>
      <c r="O106" s="3" t="s">
        <v>854</v>
      </c>
      <c r="P106" s="3" t="s">
        <v>858</v>
      </c>
      <c r="Q106" s="3">
        <v>3.1</v>
      </c>
      <c r="R106" s="3" t="s">
        <v>847</v>
      </c>
    </row>
    <row r="107" spans="1:18" x14ac:dyDescent="0.3">
      <c r="A107" s="3" t="s">
        <v>981</v>
      </c>
      <c r="B107" s="3" t="s">
        <v>886</v>
      </c>
      <c r="C107" s="3" t="s">
        <v>877</v>
      </c>
      <c r="D107" s="3" t="s">
        <v>878</v>
      </c>
      <c r="E107" s="3" t="s">
        <v>844</v>
      </c>
      <c r="F107" s="3" t="s">
        <v>125</v>
      </c>
      <c r="G107" s="3" t="s">
        <v>59</v>
      </c>
      <c r="H107" s="3" t="s">
        <v>98</v>
      </c>
      <c r="I107" s="3">
        <v>6</v>
      </c>
      <c r="J107" s="3">
        <v>19289</v>
      </c>
      <c r="K107" s="3">
        <v>115734</v>
      </c>
      <c r="L107" s="3">
        <v>78414</v>
      </c>
      <c r="M107" s="3">
        <v>37320</v>
      </c>
      <c r="N107" s="3">
        <v>2</v>
      </c>
      <c r="O107" s="3" t="s">
        <v>875</v>
      </c>
      <c r="P107" s="3" t="s">
        <v>846</v>
      </c>
      <c r="Q107" s="3">
        <v>4.0999999999999996</v>
      </c>
      <c r="R107" s="3" t="s">
        <v>861</v>
      </c>
    </row>
    <row r="108" spans="1:18" x14ac:dyDescent="0.3">
      <c r="A108" s="3" t="s">
        <v>982</v>
      </c>
      <c r="B108" s="3" t="s">
        <v>907</v>
      </c>
      <c r="C108" s="3" t="s">
        <v>842</v>
      </c>
      <c r="D108" s="3" t="s">
        <v>843</v>
      </c>
      <c r="E108" s="3" t="s">
        <v>844</v>
      </c>
      <c r="F108" s="3" t="s">
        <v>79</v>
      </c>
      <c r="G108" s="3" t="s">
        <v>81</v>
      </c>
      <c r="H108" s="3" t="s">
        <v>25</v>
      </c>
      <c r="I108" s="3">
        <v>7</v>
      </c>
      <c r="J108" s="3">
        <v>24388</v>
      </c>
      <c r="K108" s="3">
        <v>170716</v>
      </c>
      <c r="L108" s="3">
        <v>127085</v>
      </c>
      <c r="M108" s="3">
        <v>43631</v>
      </c>
      <c r="N108" s="3">
        <v>18</v>
      </c>
      <c r="O108" s="3" t="s">
        <v>845</v>
      </c>
      <c r="P108" s="3" t="s">
        <v>855</v>
      </c>
      <c r="Q108" s="3">
        <v>4.9000000000000004</v>
      </c>
      <c r="R108" s="3" t="s">
        <v>861</v>
      </c>
    </row>
    <row r="109" spans="1:18" x14ac:dyDescent="0.3">
      <c r="A109" s="3" t="s">
        <v>983</v>
      </c>
      <c r="B109" s="3" t="s">
        <v>841</v>
      </c>
      <c r="C109" s="3" t="s">
        <v>889</v>
      </c>
      <c r="D109" s="3" t="s">
        <v>890</v>
      </c>
      <c r="E109" s="3" t="s">
        <v>872</v>
      </c>
      <c r="F109" s="3" t="s">
        <v>55</v>
      </c>
      <c r="G109" s="3" t="s">
        <v>26</v>
      </c>
      <c r="H109" s="3" t="s">
        <v>27</v>
      </c>
      <c r="I109" s="3">
        <v>11</v>
      </c>
      <c r="J109" s="3">
        <v>10436</v>
      </c>
      <c r="K109" s="3">
        <v>114796</v>
      </c>
      <c r="L109" s="3">
        <v>74195</v>
      </c>
      <c r="M109" s="3">
        <v>40601</v>
      </c>
      <c r="N109" s="3">
        <v>2</v>
      </c>
      <c r="O109" s="3" t="s">
        <v>845</v>
      </c>
      <c r="P109" s="3" t="s">
        <v>858</v>
      </c>
      <c r="Q109" s="3">
        <v>5</v>
      </c>
      <c r="R109" s="3" t="s">
        <v>861</v>
      </c>
    </row>
    <row r="110" spans="1:18" x14ac:dyDescent="0.3">
      <c r="A110" s="3" t="s">
        <v>984</v>
      </c>
      <c r="B110" s="3" t="s">
        <v>849</v>
      </c>
      <c r="C110" s="3" t="s">
        <v>870</v>
      </c>
      <c r="D110" s="3" t="s">
        <v>871</v>
      </c>
      <c r="E110" s="3" t="s">
        <v>872</v>
      </c>
      <c r="F110" s="3" t="s">
        <v>75</v>
      </c>
      <c r="G110" s="3" t="s">
        <v>81</v>
      </c>
      <c r="H110" s="3" t="s">
        <v>27</v>
      </c>
      <c r="I110" s="3">
        <v>12</v>
      </c>
      <c r="J110" s="3">
        <v>4121</v>
      </c>
      <c r="K110" s="3">
        <v>49452</v>
      </c>
      <c r="L110" s="3">
        <v>41220</v>
      </c>
      <c r="M110" s="3">
        <v>8232</v>
      </c>
      <c r="N110" s="3">
        <v>13</v>
      </c>
      <c r="O110" s="3" t="s">
        <v>845</v>
      </c>
      <c r="P110" s="3" t="s">
        <v>855</v>
      </c>
      <c r="Q110" s="3">
        <v>4.8</v>
      </c>
      <c r="R110" s="3" t="s">
        <v>861</v>
      </c>
    </row>
    <row r="111" spans="1:18" x14ac:dyDescent="0.3">
      <c r="A111" s="3" t="s">
        <v>985</v>
      </c>
      <c r="B111" s="3" t="s">
        <v>868</v>
      </c>
      <c r="C111" s="3" t="s">
        <v>850</v>
      </c>
      <c r="D111" s="3" t="s">
        <v>851</v>
      </c>
      <c r="E111" s="3" t="s">
        <v>844</v>
      </c>
      <c r="F111" s="3" t="s">
        <v>125</v>
      </c>
      <c r="G111" s="3" t="s">
        <v>39</v>
      </c>
      <c r="H111" s="3" t="s">
        <v>49</v>
      </c>
      <c r="I111" s="3">
        <v>1</v>
      </c>
      <c r="J111" s="3">
        <v>55761</v>
      </c>
      <c r="K111" s="3">
        <v>55761</v>
      </c>
      <c r="L111" s="3">
        <v>42657</v>
      </c>
      <c r="M111" s="3">
        <v>13104</v>
      </c>
      <c r="N111" s="3">
        <v>19</v>
      </c>
      <c r="O111" s="3" t="s">
        <v>845</v>
      </c>
      <c r="P111" s="3" t="s">
        <v>858</v>
      </c>
      <c r="Q111" s="3">
        <v>4</v>
      </c>
      <c r="R111" s="3" t="s">
        <v>847</v>
      </c>
    </row>
    <row r="112" spans="1:18" x14ac:dyDescent="0.3">
      <c r="A112" s="3" t="s">
        <v>986</v>
      </c>
      <c r="B112" s="3" t="s">
        <v>886</v>
      </c>
      <c r="C112" s="3" t="s">
        <v>850</v>
      </c>
      <c r="D112" s="3" t="s">
        <v>851</v>
      </c>
      <c r="E112" s="3" t="s">
        <v>844</v>
      </c>
      <c r="F112" s="3" t="s">
        <v>55</v>
      </c>
      <c r="G112" s="3" t="s">
        <v>59</v>
      </c>
      <c r="H112" s="3" t="s">
        <v>28</v>
      </c>
      <c r="I112" s="3">
        <v>8</v>
      </c>
      <c r="J112" s="3">
        <v>56405</v>
      </c>
      <c r="K112" s="3">
        <v>451240</v>
      </c>
      <c r="L112" s="3">
        <v>335992</v>
      </c>
      <c r="M112" s="3">
        <v>115248</v>
      </c>
      <c r="N112" s="3">
        <v>11</v>
      </c>
      <c r="O112" s="3" t="s">
        <v>845</v>
      </c>
      <c r="P112" s="3" t="s">
        <v>846</v>
      </c>
      <c r="Q112" s="3">
        <v>4.9000000000000004</v>
      </c>
      <c r="R112" s="3" t="s">
        <v>861</v>
      </c>
    </row>
    <row r="113" spans="1:18" x14ac:dyDescent="0.3">
      <c r="A113" s="3" t="s">
        <v>987</v>
      </c>
      <c r="B113" s="3" t="s">
        <v>874</v>
      </c>
      <c r="C113" s="3" t="s">
        <v>889</v>
      </c>
      <c r="D113" s="3" t="s">
        <v>890</v>
      </c>
      <c r="E113" s="3" t="s">
        <v>872</v>
      </c>
      <c r="F113" s="3" t="s">
        <v>143</v>
      </c>
      <c r="G113" s="3" t="s">
        <v>59</v>
      </c>
      <c r="H113" s="3" t="s">
        <v>25</v>
      </c>
      <c r="I113" s="3">
        <v>4</v>
      </c>
      <c r="J113" s="3">
        <v>9935</v>
      </c>
      <c r="K113" s="3">
        <v>39740</v>
      </c>
      <c r="L113" s="3">
        <v>30212</v>
      </c>
      <c r="M113" s="3">
        <v>9528</v>
      </c>
      <c r="N113" s="3">
        <v>6</v>
      </c>
      <c r="O113" s="3" t="s">
        <v>845</v>
      </c>
      <c r="P113" s="3" t="s">
        <v>846</v>
      </c>
      <c r="Q113" s="3">
        <v>5</v>
      </c>
      <c r="R113" s="3" t="s">
        <v>861</v>
      </c>
    </row>
    <row r="114" spans="1:18" x14ac:dyDescent="0.3">
      <c r="A114" s="3" t="s">
        <v>988</v>
      </c>
      <c r="B114" s="3" t="s">
        <v>868</v>
      </c>
      <c r="C114" s="3" t="s">
        <v>889</v>
      </c>
      <c r="D114" s="3" t="s">
        <v>890</v>
      </c>
      <c r="E114" s="3" t="s">
        <v>872</v>
      </c>
      <c r="F114" s="3" t="s">
        <v>75</v>
      </c>
      <c r="G114" s="3" t="s">
        <v>81</v>
      </c>
      <c r="H114" s="3" t="s">
        <v>27</v>
      </c>
      <c r="I114" s="3">
        <v>12</v>
      </c>
      <c r="J114" s="3">
        <v>9171</v>
      </c>
      <c r="K114" s="3">
        <v>110052</v>
      </c>
      <c r="L114" s="3">
        <v>91272</v>
      </c>
      <c r="M114" s="3">
        <v>18780</v>
      </c>
      <c r="N114" s="3">
        <v>15</v>
      </c>
      <c r="O114" s="3" t="s">
        <v>845</v>
      </c>
      <c r="P114" s="3" t="s">
        <v>858</v>
      </c>
      <c r="Q114" s="3">
        <v>4</v>
      </c>
      <c r="R114" s="3" t="s">
        <v>847</v>
      </c>
    </row>
    <row r="115" spans="1:18" x14ac:dyDescent="0.3">
      <c r="A115" s="3" t="s">
        <v>989</v>
      </c>
      <c r="B115" s="3" t="s">
        <v>868</v>
      </c>
      <c r="C115" s="3" t="s">
        <v>842</v>
      </c>
      <c r="D115" s="3" t="s">
        <v>843</v>
      </c>
      <c r="E115" s="3" t="s">
        <v>844</v>
      </c>
      <c r="F115" s="3" t="s">
        <v>136</v>
      </c>
      <c r="G115" s="3" t="s">
        <v>81</v>
      </c>
      <c r="H115" s="3" t="s">
        <v>49</v>
      </c>
      <c r="I115" s="3">
        <v>13</v>
      </c>
      <c r="J115" s="3">
        <v>26313</v>
      </c>
      <c r="K115" s="3">
        <v>342069</v>
      </c>
      <c r="L115" s="3">
        <v>235612</v>
      </c>
      <c r="M115" s="3">
        <v>106457</v>
      </c>
      <c r="N115" s="3">
        <v>5</v>
      </c>
      <c r="O115" s="3" t="s">
        <v>875</v>
      </c>
      <c r="P115" s="3" t="s">
        <v>858</v>
      </c>
      <c r="Q115" s="3">
        <v>3.1</v>
      </c>
      <c r="R115" s="3" t="s">
        <v>861</v>
      </c>
    </row>
    <row r="116" spans="1:18" x14ac:dyDescent="0.3">
      <c r="A116" s="3" t="s">
        <v>990</v>
      </c>
      <c r="B116" s="3" t="s">
        <v>841</v>
      </c>
      <c r="C116" s="3" t="s">
        <v>842</v>
      </c>
      <c r="D116" s="3" t="s">
        <v>843</v>
      </c>
      <c r="E116" s="3" t="s">
        <v>844</v>
      </c>
      <c r="F116" s="3" t="s">
        <v>47</v>
      </c>
      <c r="G116" s="3" t="s">
        <v>81</v>
      </c>
      <c r="H116" s="3" t="s">
        <v>28</v>
      </c>
      <c r="I116" s="3">
        <v>2</v>
      </c>
      <c r="J116" s="3">
        <v>24155</v>
      </c>
      <c r="K116" s="3">
        <v>48310</v>
      </c>
      <c r="L116" s="3">
        <v>36290</v>
      </c>
      <c r="M116" s="3">
        <v>12020</v>
      </c>
      <c r="N116" s="3">
        <v>14</v>
      </c>
      <c r="O116" s="3" t="s">
        <v>854</v>
      </c>
      <c r="P116" s="3" t="s">
        <v>858</v>
      </c>
      <c r="Q116" s="3">
        <v>5</v>
      </c>
      <c r="R116" s="3" t="s">
        <v>861</v>
      </c>
    </row>
    <row r="117" spans="1:18" x14ac:dyDescent="0.3">
      <c r="A117" s="3" t="s">
        <v>991</v>
      </c>
      <c r="B117" s="3" t="s">
        <v>849</v>
      </c>
      <c r="C117" s="3" t="s">
        <v>842</v>
      </c>
      <c r="D117" s="3" t="s">
        <v>843</v>
      </c>
      <c r="E117" s="3" t="s">
        <v>844</v>
      </c>
      <c r="F117" s="3" t="s">
        <v>143</v>
      </c>
      <c r="G117" s="3" t="s">
        <v>81</v>
      </c>
      <c r="H117" s="3" t="s">
        <v>98</v>
      </c>
      <c r="I117" s="3">
        <v>3</v>
      </c>
      <c r="J117" s="3">
        <v>26396</v>
      </c>
      <c r="K117" s="3">
        <v>79188</v>
      </c>
      <c r="L117" s="3">
        <v>55383</v>
      </c>
      <c r="M117" s="3">
        <v>23805</v>
      </c>
      <c r="N117" s="3">
        <v>5</v>
      </c>
      <c r="O117" s="3" t="s">
        <v>865</v>
      </c>
      <c r="P117" s="3" t="s">
        <v>866</v>
      </c>
      <c r="Q117" s="3">
        <v>5</v>
      </c>
      <c r="R117" s="3" t="s">
        <v>861</v>
      </c>
    </row>
    <row r="118" spans="1:18" x14ac:dyDescent="0.3">
      <c r="A118" s="3" t="s">
        <v>992</v>
      </c>
      <c r="B118" s="3" t="s">
        <v>888</v>
      </c>
      <c r="C118" s="3" t="s">
        <v>870</v>
      </c>
      <c r="D118" s="3" t="s">
        <v>871</v>
      </c>
      <c r="E118" s="3" t="s">
        <v>872</v>
      </c>
      <c r="F118" s="3" t="s">
        <v>68</v>
      </c>
      <c r="G118" s="3" t="s">
        <v>39</v>
      </c>
      <c r="H118" s="3" t="s">
        <v>25</v>
      </c>
      <c r="I118" s="3">
        <v>8</v>
      </c>
      <c r="J118" s="3">
        <v>4471</v>
      </c>
      <c r="K118" s="3">
        <v>35768</v>
      </c>
      <c r="L118" s="3">
        <v>21656</v>
      </c>
      <c r="M118" s="3">
        <v>14112</v>
      </c>
      <c r="N118" s="3">
        <v>1</v>
      </c>
      <c r="O118" s="3" t="s">
        <v>865</v>
      </c>
      <c r="P118" s="3" t="s">
        <v>855</v>
      </c>
      <c r="Q118" s="3">
        <v>4.3</v>
      </c>
      <c r="R118" s="3" t="s">
        <v>847</v>
      </c>
    </row>
    <row r="119" spans="1:18" x14ac:dyDescent="0.3">
      <c r="A119" s="3" t="s">
        <v>993</v>
      </c>
      <c r="B119" s="3" t="s">
        <v>849</v>
      </c>
      <c r="C119" s="3" t="s">
        <v>863</v>
      </c>
      <c r="D119" s="3" t="s">
        <v>864</v>
      </c>
      <c r="E119" s="3" t="s">
        <v>844</v>
      </c>
      <c r="F119" s="3" t="s">
        <v>136</v>
      </c>
      <c r="G119" s="3" t="s">
        <v>81</v>
      </c>
      <c r="H119" s="3" t="s">
        <v>28</v>
      </c>
      <c r="I119" s="3">
        <v>3</v>
      </c>
      <c r="J119" s="3">
        <v>11195</v>
      </c>
      <c r="K119" s="3">
        <v>33585</v>
      </c>
      <c r="L119" s="3">
        <v>25125</v>
      </c>
      <c r="M119" s="3">
        <v>8460</v>
      </c>
      <c r="N119" s="3">
        <v>17</v>
      </c>
      <c r="O119" s="3" t="s">
        <v>845</v>
      </c>
      <c r="P119" s="3" t="s">
        <v>846</v>
      </c>
      <c r="Q119" s="3">
        <v>3.9</v>
      </c>
      <c r="R119" s="3" t="s">
        <v>861</v>
      </c>
    </row>
    <row r="120" spans="1:18" x14ac:dyDescent="0.3">
      <c r="A120" s="3" t="s">
        <v>994</v>
      </c>
      <c r="B120" s="3" t="s">
        <v>853</v>
      </c>
      <c r="C120" s="3" t="s">
        <v>877</v>
      </c>
      <c r="D120" s="3" t="s">
        <v>878</v>
      </c>
      <c r="E120" s="3" t="s">
        <v>844</v>
      </c>
      <c r="F120" s="3" t="s">
        <v>136</v>
      </c>
      <c r="G120" s="3" t="s">
        <v>39</v>
      </c>
      <c r="H120" s="3" t="s">
        <v>49</v>
      </c>
      <c r="I120" s="3">
        <v>6</v>
      </c>
      <c r="J120" s="3">
        <v>19276</v>
      </c>
      <c r="K120" s="3">
        <v>115656</v>
      </c>
      <c r="L120" s="3">
        <v>78372</v>
      </c>
      <c r="M120" s="3">
        <v>37284</v>
      </c>
      <c r="N120" s="3">
        <v>7</v>
      </c>
      <c r="O120" s="3" t="s">
        <v>875</v>
      </c>
      <c r="P120" s="3" t="s">
        <v>846</v>
      </c>
      <c r="Q120" s="3">
        <v>3.4</v>
      </c>
      <c r="R120" s="3" t="s">
        <v>847</v>
      </c>
    </row>
    <row r="121" spans="1:18" x14ac:dyDescent="0.3">
      <c r="A121" s="3" t="s">
        <v>995</v>
      </c>
      <c r="B121" s="3" t="s">
        <v>884</v>
      </c>
      <c r="C121" s="3" t="s">
        <v>850</v>
      </c>
      <c r="D121" s="3" t="s">
        <v>851</v>
      </c>
      <c r="E121" s="3" t="s">
        <v>844</v>
      </c>
      <c r="F121" s="3" t="s">
        <v>68</v>
      </c>
      <c r="G121" s="3" t="s">
        <v>39</v>
      </c>
      <c r="H121" s="3" t="s">
        <v>25</v>
      </c>
      <c r="I121" s="3">
        <v>11</v>
      </c>
      <c r="J121" s="3">
        <v>54964</v>
      </c>
      <c r="K121" s="3">
        <v>604604</v>
      </c>
      <c r="L121" s="3">
        <v>456676</v>
      </c>
      <c r="M121" s="3">
        <v>147928</v>
      </c>
      <c r="N121" s="3">
        <v>5</v>
      </c>
      <c r="O121" s="3" t="s">
        <v>875</v>
      </c>
      <c r="P121" s="3" t="s">
        <v>866</v>
      </c>
      <c r="Q121" s="3">
        <v>3.6</v>
      </c>
      <c r="R121" s="3" t="s">
        <v>847</v>
      </c>
    </row>
    <row r="122" spans="1:18" x14ac:dyDescent="0.3">
      <c r="A122" s="3" t="s">
        <v>996</v>
      </c>
      <c r="B122" s="3" t="s">
        <v>853</v>
      </c>
      <c r="C122" s="3" t="s">
        <v>877</v>
      </c>
      <c r="D122" s="3" t="s">
        <v>878</v>
      </c>
      <c r="E122" s="3" t="s">
        <v>844</v>
      </c>
      <c r="F122" s="3" t="s">
        <v>55</v>
      </c>
      <c r="G122" s="3" t="s">
        <v>81</v>
      </c>
      <c r="H122" s="3" t="s">
        <v>98</v>
      </c>
      <c r="I122" s="3">
        <v>4</v>
      </c>
      <c r="J122" s="3">
        <v>18718</v>
      </c>
      <c r="K122" s="3">
        <v>74872</v>
      </c>
      <c r="L122" s="3">
        <v>51612</v>
      </c>
      <c r="M122" s="3">
        <v>23260</v>
      </c>
      <c r="N122" s="3">
        <v>11</v>
      </c>
      <c r="O122" s="3" t="s">
        <v>854</v>
      </c>
      <c r="P122" s="3" t="s">
        <v>855</v>
      </c>
      <c r="Q122" s="3">
        <v>5</v>
      </c>
      <c r="R122" s="3" t="s">
        <v>861</v>
      </c>
    </row>
    <row r="123" spans="1:18" x14ac:dyDescent="0.3">
      <c r="A123" s="3" t="s">
        <v>997</v>
      </c>
      <c r="B123" s="3" t="s">
        <v>868</v>
      </c>
      <c r="C123" s="3" t="s">
        <v>870</v>
      </c>
      <c r="D123" s="3" t="s">
        <v>871</v>
      </c>
      <c r="E123" s="3" t="s">
        <v>872</v>
      </c>
      <c r="F123" s="3" t="s">
        <v>68</v>
      </c>
      <c r="G123" s="3" t="s">
        <v>59</v>
      </c>
      <c r="H123" s="3" t="s">
        <v>98</v>
      </c>
      <c r="I123" s="3">
        <v>8</v>
      </c>
      <c r="J123" s="3">
        <v>4181</v>
      </c>
      <c r="K123" s="3">
        <v>33448</v>
      </c>
      <c r="L123" s="3">
        <v>21056</v>
      </c>
      <c r="M123" s="3">
        <v>12392</v>
      </c>
      <c r="N123" s="3">
        <v>12</v>
      </c>
      <c r="O123" s="3" t="s">
        <v>865</v>
      </c>
      <c r="P123" s="3" t="s">
        <v>846</v>
      </c>
      <c r="Q123" s="3">
        <v>3.5</v>
      </c>
      <c r="R123" s="3" t="s">
        <v>847</v>
      </c>
    </row>
    <row r="124" spans="1:18" x14ac:dyDescent="0.3">
      <c r="A124" s="3" t="s">
        <v>998</v>
      </c>
      <c r="B124" s="3" t="s">
        <v>942</v>
      </c>
      <c r="C124" s="3" t="s">
        <v>877</v>
      </c>
      <c r="D124" s="3" t="s">
        <v>878</v>
      </c>
      <c r="E124" s="3" t="s">
        <v>844</v>
      </c>
      <c r="F124" s="3" t="s">
        <v>68</v>
      </c>
      <c r="G124" s="3" t="s">
        <v>81</v>
      </c>
      <c r="H124" s="3" t="s">
        <v>25</v>
      </c>
      <c r="I124" s="3">
        <v>15</v>
      </c>
      <c r="J124" s="3">
        <v>18672</v>
      </c>
      <c r="K124" s="3">
        <v>280080</v>
      </c>
      <c r="L124" s="3">
        <v>188895</v>
      </c>
      <c r="M124" s="3">
        <v>91185</v>
      </c>
      <c r="N124" s="3">
        <v>14</v>
      </c>
      <c r="O124" s="3" t="s">
        <v>854</v>
      </c>
      <c r="P124" s="3" t="s">
        <v>855</v>
      </c>
      <c r="Q124" s="3">
        <v>3.7</v>
      </c>
      <c r="R124" s="3" t="s">
        <v>847</v>
      </c>
    </row>
    <row r="125" spans="1:18" x14ac:dyDescent="0.3">
      <c r="A125" s="3" t="s">
        <v>999</v>
      </c>
      <c r="B125" s="3" t="s">
        <v>874</v>
      </c>
      <c r="C125" s="3" t="s">
        <v>889</v>
      </c>
      <c r="D125" s="3" t="s">
        <v>890</v>
      </c>
      <c r="E125" s="3" t="s">
        <v>872</v>
      </c>
      <c r="F125" s="3" t="s">
        <v>47</v>
      </c>
      <c r="G125" s="3" t="s">
        <v>26</v>
      </c>
      <c r="H125" s="3" t="s">
        <v>27</v>
      </c>
      <c r="I125" s="3">
        <v>13</v>
      </c>
      <c r="J125" s="3">
        <v>11453</v>
      </c>
      <c r="K125" s="3">
        <v>148889</v>
      </c>
      <c r="L125" s="3">
        <v>87867</v>
      </c>
      <c r="M125" s="3">
        <v>61022</v>
      </c>
      <c r="N125" s="3">
        <v>13</v>
      </c>
      <c r="O125" s="3" t="s">
        <v>875</v>
      </c>
      <c r="P125" s="3" t="s">
        <v>846</v>
      </c>
      <c r="Q125" s="3">
        <v>4.2</v>
      </c>
      <c r="R125" s="3" t="s">
        <v>847</v>
      </c>
    </row>
    <row r="126" spans="1:18" x14ac:dyDescent="0.3">
      <c r="A126" s="3" t="s">
        <v>1000</v>
      </c>
      <c r="B126" s="3" t="s">
        <v>849</v>
      </c>
      <c r="C126" s="3" t="s">
        <v>870</v>
      </c>
      <c r="D126" s="3" t="s">
        <v>871</v>
      </c>
      <c r="E126" s="3" t="s">
        <v>872</v>
      </c>
      <c r="F126" s="3" t="s">
        <v>75</v>
      </c>
      <c r="G126" s="3" t="s">
        <v>39</v>
      </c>
      <c r="H126" s="3" t="s">
        <v>49</v>
      </c>
      <c r="I126" s="3">
        <v>6</v>
      </c>
      <c r="J126" s="3">
        <v>4882</v>
      </c>
      <c r="K126" s="3">
        <v>29292</v>
      </c>
      <c r="L126" s="3">
        <v>22626</v>
      </c>
      <c r="M126" s="3">
        <v>6666</v>
      </c>
      <c r="N126" s="3">
        <v>8</v>
      </c>
      <c r="O126" s="3" t="s">
        <v>854</v>
      </c>
      <c r="P126" s="3" t="s">
        <v>858</v>
      </c>
      <c r="Q126" s="3">
        <v>4.4000000000000004</v>
      </c>
      <c r="R126" s="3" t="s">
        <v>847</v>
      </c>
    </row>
    <row r="127" spans="1:18" x14ac:dyDescent="0.3">
      <c r="A127" s="3" t="s">
        <v>1001</v>
      </c>
      <c r="B127" s="3" t="s">
        <v>897</v>
      </c>
      <c r="C127" s="3" t="s">
        <v>877</v>
      </c>
      <c r="D127" s="3" t="s">
        <v>878</v>
      </c>
      <c r="E127" s="3" t="s">
        <v>844</v>
      </c>
      <c r="F127" s="3" t="s">
        <v>136</v>
      </c>
      <c r="G127" s="3" t="s">
        <v>59</v>
      </c>
      <c r="H127" s="3" t="s">
        <v>27</v>
      </c>
      <c r="I127" s="3">
        <v>9</v>
      </c>
      <c r="J127" s="3">
        <v>17993</v>
      </c>
      <c r="K127" s="3">
        <v>161937</v>
      </c>
      <c r="L127" s="3">
        <v>114165</v>
      </c>
      <c r="M127" s="3">
        <v>47772</v>
      </c>
      <c r="N127" s="3">
        <v>14</v>
      </c>
      <c r="O127" s="3" t="s">
        <v>875</v>
      </c>
      <c r="P127" s="3" t="s">
        <v>855</v>
      </c>
      <c r="Q127" s="3">
        <v>3.9</v>
      </c>
      <c r="R127" s="3" t="s">
        <v>861</v>
      </c>
    </row>
    <row r="128" spans="1:18" x14ac:dyDescent="0.3">
      <c r="A128" s="3" t="s">
        <v>1002</v>
      </c>
      <c r="B128" s="3" t="s">
        <v>868</v>
      </c>
      <c r="C128" s="3" t="s">
        <v>850</v>
      </c>
      <c r="D128" s="3" t="s">
        <v>851</v>
      </c>
      <c r="E128" s="3" t="s">
        <v>844</v>
      </c>
      <c r="F128" s="3" t="s">
        <v>136</v>
      </c>
      <c r="G128" s="3" t="s">
        <v>26</v>
      </c>
      <c r="H128" s="3" t="s">
        <v>25</v>
      </c>
      <c r="I128" s="3">
        <v>13</v>
      </c>
      <c r="J128" s="3">
        <v>54550</v>
      </c>
      <c r="K128" s="3">
        <v>709150</v>
      </c>
      <c r="L128" s="3">
        <v>553137</v>
      </c>
      <c r="M128" s="3">
        <v>156013</v>
      </c>
      <c r="N128" s="3">
        <v>1</v>
      </c>
      <c r="O128" s="3" t="s">
        <v>845</v>
      </c>
      <c r="P128" s="3" t="s">
        <v>858</v>
      </c>
      <c r="Q128" s="3">
        <v>3.2</v>
      </c>
      <c r="R128" s="3" t="s">
        <v>861</v>
      </c>
    </row>
    <row r="129" spans="1:18" x14ac:dyDescent="0.3">
      <c r="A129" s="3" t="s">
        <v>1003</v>
      </c>
      <c r="B129" s="3" t="s">
        <v>849</v>
      </c>
      <c r="C129" s="3" t="s">
        <v>842</v>
      </c>
      <c r="D129" s="3" t="s">
        <v>843</v>
      </c>
      <c r="E129" s="3" t="s">
        <v>844</v>
      </c>
      <c r="F129" s="3" t="s">
        <v>68</v>
      </c>
      <c r="G129" s="3" t="s">
        <v>26</v>
      </c>
      <c r="H129" s="3" t="s">
        <v>98</v>
      </c>
      <c r="I129" s="3">
        <v>9</v>
      </c>
      <c r="J129" s="3">
        <v>25797</v>
      </c>
      <c r="K129" s="3">
        <v>232173</v>
      </c>
      <c r="L129" s="3">
        <v>155862</v>
      </c>
      <c r="M129" s="3">
        <v>76311</v>
      </c>
      <c r="N129" s="3">
        <v>17</v>
      </c>
      <c r="O129" s="3" t="s">
        <v>845</v>
      </c>
      <c r="P129" s="3" t="s">
        <v>858</v>
      </c>
      <c r="Q129" s="3">
        <v>4.9000000000000004</v>
      </c>
      <c r="R129" s="3" t="s">
        <v>847</v>
      </c>
    </row>
    <row r="130" spans="1:18" x14ac:dyDescent="0.3">
      <c r="A130" s="3" t="s">
        <v>1004</v>
      </c>
      <c r="B130" s="3" t="s">
        <v>857</v>
      </c>
      <c r="C130" s="3" t="s">
        <v>877</v>
      </c>
      <c r="D130" s="3" t="s">
        <v>878</v>
      </c>
      <c r="E130" s="3" t="s">
        <v>844</v>
      </c>
      <c r="F130" s="3" t="s">
        <v>47</v>
      </c>
      <c r="G130" s="3" t="s">
        <v>39</v>
      </c>
      <c r="H130" s="3" t="s">
        <v>98</v>
      </c>
      <c r="I130" s="3">
        <v>4</v>
      </c>
      <c r="J130" s="3">
        <v>19338</v>
      </c>
      <c r="K130" s="3">
        <v>77352</v>
      </c>
      <c r="L130" s="3">
        <v>49724</v>
      </c>
      <c r="M130" s="3">
        <v>27628</v>
      </c>
      <c r="N130" s="3">
        <v>2</v>
      </c>
      <c r="O130" s="3" t="s">
        <v>845</v>
      </c>
      <c r="P130" s="3" t="s">
        <v>858</v>
      </c>
      <c r="Q130" s="3">
        <v>4.5</v>
      </c>
      <c r="R130" s="3" t="s">
        <v>861</v>
      </c>
    </row>
    <row r="131" spans="1:18" x14ac:dyDescent="0.3">
      <c r="A131" s="3" t="s">
        <v>1005</v>
      </c>
      <c r="B131" s="3" t="s">
        <v>853</v>
      </c>
      <c r="C131" s="3" t="s">
        <v>870</v>
      </c>
      <c r="D131" s="3" t="s">
        <v>871</v>
      </c>
      <c r="E131" s="3" t="s">
        <v>872</v>
      </c>
      <c r="F131" s="3" t="s">
        <v>125</v>
      </c>
      <c r="G131" s="3" t="s">
        <v>59</v>
      </c>
      <c r="H131" s="3" t="s">
        <v>98</v>
      </c>
      <c r="I131" s="3">
        <v>2</v>
      </c>
      <c r="J131" s="3">
        <v>6099</v>
      </c>
      <c r="K131" s="3">
        <v>12198</v>
      </c>
      <c r="L131" s="3">
        <v>7644</v>
      </c>
      <c r="M131" s="3">
        <v>4554</v>
      </c>
      <c r="N131" s="3">
        <v>6</v>
      </c>
      <c r="O131" s="3" t="s">
        <v>845</v>
      </c>
      <c r="P131" s="3" t="s">
        <v>858</v>
      </c>
      <c r="Q131" s="3">
        <v>3.4</v>
      </c>
      <c r="R131" s="3" t="s">
        <v>847</v>
      </c>
    </row>
    <row r="132" spans="1:18" x14ac:dyDescent="0.3">
      <c r="A132" s="3" t="s">
        <v>1006</v>
      </c>
      <c r="B132" s="3" t="s">
        <v>886</v>
      </c>
      <c r="C132" s="3" t="s">
        <v>877</v>
      </c>
      <c r="D132" s="3" t="s">
        <v>878</v>
      </c>
      <c r="E132" s="3" t="s">
        <v>844</v>
      </c>
      <c r="F132" s="3" t="s">
        <v>125</v>
      </c>
      <c r="G132" s="3" t="s">
        <v>59</v>
      </c>
      <c r="H132" s="3" t="s">
        <v>38</v>
      </c>
      <c r="I132" s="3">
        <v>3</v>
      </c>
      <c r="J132" s="3">
        <v>18498</v>
      </c>
      <c r="K132" s="3">
        <v>55494</v>
      </c>
      <c r="L132" s="3">
        <v>38793</v>
      </c>
      <c r="M132" s="3">
        <v>16701</v>
      </c>
      <c r="N132" s="3">
        <v>0</v>
      </c>
      <c r="O132" s="3" t="s">
        <v>875</v>
      </c>
      <c r="P132" s="3" t="s">
        <v>846</v>
      </c>
      <c r="Q132" s="3">
        <v>4.0999999999999996</v>
      </c>
      <c r="R132" s="3" t="s">
        <v>847</v>
      </c>
    </row>
    <row r="133" spans="1:18" x14ac:dyDescent="0.3">
      <c r="A133" s="3" t="s">
        <v>1007</v>
      </c>
      <c r="B133" s="3" t="s">
        <v>868</v>
      </c>
      <c r="C133" s="3" t="s">
        <v>870</v>
      </c>
      <c r="D133" s="3" t="s">
        <v>871</v>
      </c>
      <c r="E133" s="3" t="s">
        <v>872</v>
      </c>
      <c r="F133" s="3" t="s">
        <v>47</v>
      </c>
      <c r="G133" s="3" t="s">
        <v>39</v>
      </c>
      <c r="H133" s="3" t="s">
        <v>49</v>
      </c>
      <c r="I133" s="3">
        <v>12</v>
      </c>
      <c r="J133" s="3">
        <v>4498</v>
      </c>
      <c r="K133" s="3">
        <v>53976</v>
      </c>
      <c r="L133" s="3">
        <v>46296</v>
      </c>
      <c r="M133" s="3">
        <v>7680</v>
      </c>
      <c r="N133" s="3">
        <v>4</v>
      </c>
      <c r="O133" s="3" t="s">
        <v>865</v>
      </c>
      <c r="P133" s="3" t="s">
        <v>846</v>
      </c>
      <c r="Q133" s="3">
        <v>4</v>
      </c>
      <c r="R133" s="3" t="s">
        <v>847</v>
      </c>
    </row>
    <row r="134" spans="1:18" x14ac:dyDescent="0.3">
      <c r="A134" s="3" t="s">
        <v>1008</v>
      </c>
      <c r="B134" s="3" t="s">
        <v>874</v>
      </c>
      <c r="C134" s="3" t="s">
        <v>870</v>
      </c>
      <c r="D134" s="3" t="s">
        <v>871</v>
      </c>
      <c r="E134" s="3" t="s">
        <v>872</v>
      </c>
      <c r="F134" s="3" t="s">
        <v>136</v>
      </c>
      <c r="G134" s="3" t="s">
        <v>39</v>
      </c>
      <c r="H134" s="3" t="s">
        <v>49</v>
      </c>
      <c r="I134" s="3">
        <v>5</v>
      </c>
      <c r="J134" s="3">
        <v>4282</v>
      </c>
      <c r="K134" s="3">
        <v>21410</v>
      </c>
      <c r="L134" s="3">
        <v>18980</v>
      </c>
      <c r="M134" s="3">
        <v>2430</v>
      </c>
      <c r="N134" s="3">
        <v>8</v>
      </c>
      <c r="O134" s="3" t="s">
        <v>854</v>
      </c>
      <c r="P134" s="3" t="s">
        <v>858</v>
      </c>
      <c r="Q134" s="3">
        <v>3.2</v>
      </c>
      <c r="R134" s="3" t="s">
        <v>861</v>
      </c>
    </row>
    <row r="135" spans="1:18" x14ac:dyDescent="0.3">
      <c r="A135" s="3" t="s">
        <v>1009</v>
      </c>
      <c r="B135" s="3" t="s">
        <v>853</v>
      </c>
      <c r="C135" s="3" t="s">
        <v>842</v>
      </c>
      <c r="D135" s="3" t="s">
        <v>843</v>
      </c>
      <c r="E135" s="3" t="s">
        <v>844</v>
      </c>
      <c r="F135" s="3" t="s">
        <v>55</v>
      </c>
      <c r="G135" s="3" t="s">
        <v>26</v>
      </c>
      <c r="H135" s="3" t="s">
        <v>38</v>
      </c>
      <c r="I135" s="3">
        <v>5</v>
      </c>
      <c r="J135" s="3">
        <v>24041</v>
      </c>
      <c r="K135" s="3">
        <v>120205</v>
      </c>
      <c r="L135" s="3">
        <v>92845</v>
      </c>
      <c r="M135" s="3">
        <v>27360</v>
      </c>
      <c r="N135" s="3">
        <v>3</v>
      </c>
      <c r="O135" s="3" t="s">
        <v>845</v>
      </c>
      <c r="P135" s="3" t="s">
        <v>858</v>
      </c>
      <c r="Q135" s="3">
        <v>3.9</v>
      </c>
      <c r="R135" s="3" t="s">
        <v>861</v>
      </c>
    </row>
    <row r="136" spans="1:18" x14ac:dyDescent="0.3">
      <c r="A136" s="3" t="s">
        <v>1010</v>
      </c>
      <c r="B136" s="3" t="s">
        <v>874</v>
      </c>
      <c r="C136" s="3" t="s">
        <v>842</v>
      </c>
      <c r="D136" s="3" t="s">
        <v>843</v>
      </c>
      <c r="E136" s="3" t="s">
        <v>844</v>
      </c>
      <c r="F136" s="3" t="s">
        <v>47</v>
      </c>
      <c r="G136" s="3" t="s">
        <v>39</v>
      </c>
      <c r="H136" s="3" t="s">
        <v>38</v>
      </c>
      <c r="I136" s="3">
        <v>5</v>
      </c>
      <c r="J136" s="3">
        <v>24947</v>
      </c>
      <c r="K136" s="3">
        <v>124735</v>
      </c>
      <c r="L136" s="3">
        <v>88440</v>
      </c>
      <c r="M136" s="3">
        <v>36295</v>
      </c>
      <c r="N136" s="3">
        <v>8</v>
      </c>
      <c r="O136" s="3" t="s">
        <v>845</v>
      </c>
      <c r="P136" s="3" t="s">
        <v>858</v>
      </c>
      <c r="Q136" s="3">
        <v>4.9000000000000004</v>
      </c>
      <c r="R136" s="3" t="s">
        <v>861</v>
      </c>
    </row>
    <row r="137" spans="1:18" x14ac:dyDescent="0.3">
      <c r="A137" s="3" t="s">
        <v>1011</v>
      </c>
      <c r="B137" s="3" t="s">
        <v>857</v>
      </c>
      <c r="C137" s="3" t="s">
        <v>850</v>
      </c>
      <c r="D137" s="3" t="s">
        <v>851</v>
      </c>
      <c r="E137" s="3" t="s">
        <v>844</v>
      </c>
      <c r="F137" s="3" t="s">
        <v>136</v>
      </c>
      <c r="G137" s="3" t="s">
        <v>39</v>
      </c>
      <c r="H137" s="3" t="s">
        <v>38</v>
      </c>
      <c r="I137" s="3">
        <v>15</v>
      </c>
      <c r="J137" s="3">
        <v>54330</v>
      </c>
      <c r="K137" s="3">
        <v>814950</v>
      </c>
      <c r="L137" s="3">
        <v>627855</v>
      </c>
      <c r="M137" s="3">
        <v>187095</v>
      </c>
      <c r="N137" s="3">
        <v>8</v>
      </c>
      <c r="O137" s="3" t="s">
        <v>854</v>
      </c>
      <c r="P137" s="3" t="s">
        <v>866</v>
      </c>
      <c r="Q137" s="3">
        <v>4.2</v>
      </c>
      <c r="R137" s="3" t="s">
        <v>861</v>
      </c>
    </row>
    <row r="138" spans="1:18" x14ac:dyDescent="0.3">
      <c r="A138" s="3" t="s">
        <v>1012</v>
      </c>
      <c r="B138" s="3" t="s">
        <v>942</v>
      </c>
      <c r="C138" s="3" t="s">
        <v>863</v>
      </c>
      <c r="D138" s="3" t="s">
        <v>864</v>
      </c>
      <c r="E138" s="3" t="s">
        <v>844</v>
      </c>
      <c r="F138" s="3" t="s">
        <v>47</v>
      </c>
      <c r="G138" s="3" t="s">
        <v>81</v>
      </c>
      <c r="H138" s="3" t="s">
        <v>38</v>
      </c>
      <c r="I138" s="3">
        <v>9</v>
      </c>
      <c r="J138" s="3">
        <v>12988</v>
      </c>
      <c r="K138" s="3">
        <v>116892</v>
      </c>
      <c r="L138" s="3">
        <v>70551</v>
      </c>
      <c r="M138" s="3">
        <v>46341</v>
      </c>
      <c r="N138" s="3">
        <v>1</v>
      </c>
      <c r="O138" s="3" t="s">
        <v>845</v>
      </c>
      <c r="P138" s="3" t="s">
        <v>846</v>
      </c>
      <c r="Q138" s="3">
        <v>4.2</v>
      </c>
      <c r="R138" s="3" t="s">
        <v>847</v>
      </c>
    </row>
    <row r="139" spans="1:18" x14ac:dyDescent="0.3">
      <c r="A139" s="3" t="s">
        <v>1013</v>
      </c>
      <c r="B139" s="3" t="s">
        <v>897</v>
      </c>
      <c r="C139" s="3" t="s">
        <v>842</v>
      </c>
      <c r="D139" s="3" t="s">
        <v>843</v>
      </c>
      <c r="E139" s="3" t="s">
        <v>844</v>
      </c>
      <c r="F139" s="3" t="s">
        <v>143</v>
      </c>
      <c r="G139" s="3" t="s">
        <v>59</v>
      </c>
      <c r="H139" s="3" t="s">
        <v>38</v>
      </c>
      <c r="I139" s="3">
        <v>5</v>
      </c>
      <c r="J139" s="3">
        <v>24412</v>
      </c>
      <c r="K139" s="3">
        <v>122060</v>
      </c>
      <c r="L139" s="3">
        <v>92795</v>
      </c>
      <c r="M139" s="3">
        <v>29265</v>
      </c>
      <c r="N139" s="3">
        <v>8</v>
      </c>
      <c r="O139" s="3" t="s">
        <v>865</v>
      </c>
      <c r="P139" s="3" t="s">
        <v>866</v>
      </c>
      <c r="Q139" s="3">
        <v>3.4</v>
      </c>
      <c r="R139" s="3" t="s">
        <v>861</v>
      </c>
    </row>
    <row r="140" spans="1:18" x14ac:dyDescent="0.3">
      <c r="A140" s="3" t="s">
        <v>1014</v>
      </c>
      <c r="B140" s="3" t="s">
        <v>897</v>
      </c>
      <c r="C140" s="3" t="s">
        <v>877</v>
      </c>
      <c r="D140" s="3" t="s">
        <v>878</v>
      </c>
      <c r="E140" s="3" t="s">
        <v>844</v>
      </c>
      <c r="F140" s="3" t="s">
        <v>143</v>
      </c>
      <c r="G140" s="3" t="s">
        <v>81</v>
      </c>
      <c r="H140" s="3" t="s">
        <v>98</v>
      </c>
      <c r="I140" s="3">
        <v>8</v>
      </c>
      <c r="J140" s="3">
        <v>19247</v>
      </c>
      <c r="K140" s="3">
        <v>153976</v>
      </c>
      <c r="L140" s="3">
        <v>107792</v>
      </c>
      <c r="M140" s="3">
        <v>46184</v>
      </c>
      <c r="N140" s="3">
        <v>9</v>
      </c>
      <c r="O140" s="3" t="s">
        <v>875</v>
      </c>
      <c r="P140" s="3" t="s">
        <v>866</v>
      </c>
      <c r="Q140" s="3">
        <v>3</v>
      </c>
      <c r="R140" s="3" t="s">
        <v>861</v>
      </c>
    </row>
    <row r="141" spans="1:18" x14ac:dyDescent="0.3">
      <c r="A141" s="3" t="s">
        <v>1015</v>
      </c>
      <c r="B141" s="3" t="s">
        <v>849</v>
      </c>
      <c r="C141" s="3" t="s">
        <v>889</v>
      </c>
      <c r="D141" s="3" t="s">
        <v>890</v>
      </c>
      <c r="E141" s="3" t="s">
        <v>872</v>
      </c>
      <c r="F141" s="3" t="s">
        <v>47</v>
      </c>
      <c r="G141" s="3" t="s">
        <v>81</v>
      </c>
      <c r="H141" s="3" t="s">
        <v>98</v>
      </c>
      <c r="I141" s="3">
        <v>11</v>
      </c>
      <c r="J141" s="3">
        <v>9316</v>
      </c>
      <c r="K141" s="3">
        <v>102476</v>
      </c>
      <c r="L141" s="3">
        <v>82599</v>
      </c>
      <c r="M141" s="3">
        <v>19877</v>
      </c>
      <c r="N141" s="3">
        <v>20</v>
      </c>
      <c r="O141" s="3" t="s">
        <v>854</v>
      </c>
      <c r="P141" s="3" t="s">
        <v>858</v>
      </c>
      <c r="Q141" s="3">
        <v>4.5</v>
      </c>
      <c r="R141" s="3" t="s">
        <v>847</v>
      </c>
    </row>
    <row r="142" spans="1:18" x14ac:dyDescent="0.3">
      <c r="A142" s="3" t="s">
        <v>1016</v>
      </c>
      <c r="B142" s="3" t="s">
        <v>886</v>
      </c>
      <c r="C142" s="3" t="s">
        <v>870</v>
      </c>
      <c r="D142" s="3" t="s">
        <v>871</v>
      </c>
      <c r="E142" s="3" t="s">
        <v>872</v>
      </c>
      <c r="F142" s="3" t="s">
        <v>68</v>
      </c>
      <c r="G142" s="3" t="s">
        <v>59</v>
      </c>
      <c r="H142" s="3" t="s">
        <v>28</v>
      </c>
      <c r="I142" s="3">
        <v>14</v>
      </c>
      <c r="J142" s="3">
        <v>4788</v>
      </c>
      <c r="K142" s="3">
        <v>67032</v>
      </c>
      <c r="L142" s="3">
        <v>52318</v>
      </c>
      <c r="M142" s="3">
        <v>14714</v>
      </c>
      <c r="N142" s="3">
        <v>9</v>
      </c>
      <c r="O142" s="3" t="s">
        <v>865</v>
      </c>
      <c r="P142" s="3" t="s">
        <v>855</v>
      </c>
      <c r="Q142" s="3">
        <v>3.6</v>
      </c>
      <c r="R142" s="3" t="s">
        <v>847</v>
      </c>
    </row>
    <row r="143" spans="1:18" x14ac:dyDescent="0.3">
      <c r="A143" s="3" t="s">
        <v>1017</v>
      </c>
      <c r="B143" s="3" t="s">
        <v>888</v>
      </c>
      <c r="C143" s="3" t="s">
        <v>889</v>
      </c>
      <c r="D143" s="3" t="s">
        <v>890</v>
      </c>
      <c r="E143" s="3" t="s">
        <v>872</v>
      </c>
      <c r="F143" s="3" t="s">
        <v>47</v>
      </c>
      <c r="G143" s="3" t="s">
        <v>59</v>
      </c>
      <c r="H143" s="3" t="s">
        <v>27</v>
      </c>
      <c r="I143" s="3">
        <v>15</v>
      </c>
      <c r="J143" s="3">
        <v>9963</v>
      </c>
      <c r="K143" s="3">
        <v>149445</v>
      </c>
      <c r="L143" s="3">
        <v>94605</v>
      </c>
      <c r="M143" s="3">
        <v>54840</v>
      </c>
      <c r="N143" s="3">
        <v>1</v>
      </c>
      <c r="O143" s="3" t="s">
        <v>865</v>
      </c>
      <c r="P143" s="3" t="s">
        <v>866</v>
      </c>
      <c r="Q143" s="3">
        <v>3.4</v>
      </c>
      <c r="R143" s="3" t="s">
        <v>861</v>
      </c>
    </row>
    <row r="144" spans="1:18" x14ac:dyDescent="0.3">
      <c r="A144" s="3" t="s">
        <v>1018</v>
      </c>
      <c r="B144" s="3" t="s">
        <v>849</v>
      </c>
      <c r="C144" s="3" t="s">
        <v>877</v>
      </c>
      <c r="D144" s="3" t="s">
        <v>878</v>
      </c>
      <c r="E144" s="3" t="s">
        <v>844</v>
      </c>
      <c r="F144" s="3" t="s">
        <v>47</v>
      </c>
      <c r="G144" s="3" t="s">
        <v>59</v>
      </c>
      <c r="H144" s="3" t="s">
        <v>49</v>
      </c>
      <c r="I144" s="3">
        <v>11</v>
      </c>
      <c r="J144" s="3">
        <v>18096</v>
      </c>
      <c r="K144" s="3">
        <v>199056</v>
      </c>
      <c r="L144" s="3">
        <v>147631</v>
      </c>
      <c r="M144" s="3">
        <v>51425</v>
      </c>
      <c r="N144" s="3">
        <v>10</v>
      </c>
      <c r="O144" s="3" t="s">
        <v>875</v>
      </c>
      <c r="P144" s="3" t="s">
        <v>866</v>
      </c>
      <c r="Q144" s="3">
        <v>3.1</v>
      </c>
      <c r="R144" s="3" t="s">
        <v>847</v>
      </c>
    </row>
    <row r="145" spans="1:18" x14ac:dyDescent="0.3">
      <c r="A145" s="3" t="s">
        <v>1019</v>
      </c>
      <c r="B145" s="3" t="s">
        <v>857</v>
      </c>
      <c r="C145" s="3" t="s">
        <v>877</v>
      </c>
      <c r="D145" s="3" t="s">
        <v>878</v>
      </c>
      <c r="E145" s="3" t="s">
        <v>844</v>
      </c>
      <c r="F145" s="3" t="s">
        <v>143</v>
      </c>
      <c r="G145" s="3" t="s">
        <v>26</v>
      </c>
      <c r="H145" s="3" t="s">
        <v>27</v>
      </c>
      <c r="I145" s="3">
        <v>12</v>
      </c>
      <c r="J145" s="3">
        <v>18023</v>
      </c>
      <c r="K145" s="3">
        <v>216276</v>
      </c>
      <c r="L145" s="3">
        <v>148884</v>
      </c>
      <c r="M145" s="3">
        <v>67392</v>
      </c>
      <c r="N145" s="3">
        <v>16</v>
      </c>
      <c r="O145" s="3" t="s">
        <v>854</v>
      </c>
      <c r="P145" s="3" t="s">
        <v>866</v>
      </c>
      <c r="Q145" s="3">
        <v>3.4</v>
      </c>
      <c r="R145" s="3" t="s">
        <v>847</v>
      </c>
    </row>
    <row r="146" spans="1:18" x14ac:dyDescent="0.3">
      <c r="A146" s="3" t="s">
        <v>1020</v>
      </c>
      <c r="B146" s="3" t="s">
        <v>874</v>
      </c>
      <c r="C146" s="3" t="s">
        <v>877</v>
      </c>
      <c r="D146" s="3" t="s">
        <v>878</v>
      </c>
      <c r="E146" s="3" t="s">
        <v>844</v>
      </c>
      <c r="F146" s="3" t="s">
        <v>143</v>
      </c>
      <c r="G146" s="3" t="s">
        <v>59</v>
      </c>
      <c r="H146" s="3" t="s">
        <v>25</v>
      </c>
      <c r="I146" s="3">
        <v>12</v>
      </c>
      <c r="J146" s="3">
        <v>19433</v>
      </c>
      <c r="K146" s="3">
        <v>233196</v>
      </c>
      <c r="L146" s="3">
        <v>148440</v>
      </c>
      <c r="M146" s="3">
        <v>84756</v>
      </c>
      <c r="N146" s="3">
        <v>3</v>
      </c>
      <c r="O146" s="3" t="s">
        <v>854</v>
      </c>
      <c r="P146" s="3" t="s">
        <v>846</v>
      </c>
      <c r="Q146" s="3">
        <v>4.5999999999999996</v>
      </c>
      <c r="R146" s="3" t="s">
        <v>861</v>
      </c>
    </row>
    <row r="147" spans="1:18" x14ac:dyDescent="0.3">
      <c r="A147" s="3" t="s">
        <v>1021</v>
      </c>
      <c r="B147" s="3" t="s">
        <v>841</v>
      </c>
      <c r="C147" s="3" t="s">
        <v>850</v>
      </c>
      <c r="D147" s="3" t="s">
        <v>851</v>
      </c>
      <c r="E147" s="3" t="s">
        <v>844</v>
      </c>
      <c r="F147" s="3" t="s">
        <v>47</v>
      </c>
      <c r="G147" s="3" t="s">
        <v>26</v>
      </c>
      <c r="H147" s="3" t="s">
        <v>28</v>
      </c>
      <c r="I147" s="3">
        <v>5</v>
      </c>
      <c r="J147" s="3">
        <v>54939</v>
      </c>
      <c r="K147" s="3">
        <v>274695</v>
      </c>
      <c r="L147" s="3">
        <v>211625</v>
      </c>
      <c r="M147" s="3">
        <v>63070</v>
      </c>
      <c r="N147" s="3">
        <v>1</v>
      </c>
      <c r="O147" s="3" t="s">
        <v>865</v>
      </c>
      <c r="P147" s="3" t="s">
        <v>846</v>
      </c>
      <c r="Q147" s="3">
        <v>4.5</v>
      </c>
      <c r="R147" s="3" t="s">
        <v>847</v>
      </c>
    </row>
    <row r="148" spans="1:18" x14ac:dyDescent="0.3">
      <c r="A148" s="3" t="s">
        <v>1022</v>
      </c>
      <c r="B148" s="3" t="s">
        <v>868</v>
      </c>
      <c r="C148" s="3" t="s">
        <v>870</v>
      </c>
      <c r="D148" s="3" t="s">
        <v>871</v>
      </c>
      <c r="E148" s="3" t="s">
        <v>872</v>
      </c>
      <c r="F148" s="3" t="s">
        <v>55</v>
      </c>
      <c r="G148" s="3" t="s">
        <v>39</v>
      </c>
      <c r="H148" s="3" t="s">
        <v>27</v>
      </c>
      <c r="I148" s="3">
        <v>4</v>
      </c>
      <c r="J148" s="3">
        <v>4228</v>
      </c>
      <c r="K148" s="3">
        <v>16912</v>
      </c>
      <c r="L148" s="3">
        <v>11096</v>
      </c>
      <c r="M148" s="3">
        <v>5816</v>
      </c>
      <c r="N148" s="3">
        <v>18</v>
      </c>
      <c r="O148" s="3" t="s">
        <v>875</v>
      </c>
      <c r="P148" s="3" t="s">
        <v>846</v>
      </c>
      <c r="Q148" s="3">
        <v>4.8</v>
      </c>
      <c r="R148" s="3" t="s">
        <v>847</v>
      </c>
    </row>
    <row r="149" spans="1:18" x14ac:dyDescent="0.3">
      <c r="A149" s="3" t="s">
        <v>1023</v>
      </c>
      <c r="B149" s="3" t="s">
        <v>841</v>
      </c>
      <c r="C149" s="3" t="s">
        <v>850</v>
      </c>
      <c r="D149" s="3" t="s">
        <v>851</v>
      </c>
      <c r="E149" s="3" t="s">
        <v>844</v>
      </c>
      <c r="F149" s="3" t="s">
        <v>68</v>
      </c>
      <c r="G149" s="3" t="s">
        <v>59</v>
      </c>
      <c r="H149" s="3" t="s">
        <v>27</v>
      </c>
      <c r="I149" s="3">
        <v>12</v>
      </c>
      <c r="J149" s="3">
        <v>54294</v>
      </c>
      <c r="K149" s="3">
        <v>651528</v>
      </c>
      <c r="L149" s="3">
        <v>507852</v>
      </c>
      <c r="M149" s="3">
        <v>143676</v>
      </c>
      <c r="N149" s="3">
        <v>17</v>
      </c>
      <c r="O149" s="3" t="s">
        <v>845</v>
      </c>
      <c r="P149" s="3" t="s">
        <v>866</v>
      </c>
      <c r="Q149" s="3">
        <v>3</v>
      </c>
      <c r="R149" s="3" t="s">
        <v>861</v>
      </c>
    </row>
    <row r="150" spans="1:18" x14ac:dyDescent="0.3">
      <c r="A150" s="3" t="s">
        <v>1024</v>
      </c>
      <c r="B150" s="3" t="s">
        <v>857</v>
      </c>
      <c r="C150" s="3" t="s">
        <v>842</v>
      </c>
      <c r="D150" s="3" t="s">
        <v>843</v>
      </c>
      <c r="E150" s="3" t="s">
        <v>844</v>
      </c>
      <c r="F150" s="3" t="s">
        <v>143</v>
      </c>
      <c r="G150" s="3" t="s">
        <v>39</v>
      </c>
      <c r="H150" s="3" t="s">
        <v>25</v>
      </c>
      <c r="I150" s="3">
        <v>14</v>
      </c>
      <c r="J150" s="3">
        <v>24187</v>
      </c>
      <c r="K150" s="3">
        <v>338618</v>
      </c>
      <c r="L150" s="3">
        <v>245196</v>
      </c>
      <c r="M150" s="3">
        <v>93422</v>
      </c>
      <c r="N150" s="3">
        <v>0</v>
      </c>
      <c r="O150" s="3" t="s">
        <v>875</v>
      </c>
      <c r="P150" s="3" t="s">
        <v>858</v>
      </c>
      <c r="Q150" s="3">
        <v>5</v>
      </c>
      <c r="R150" s="3" t="s">
        <v>861</v>
      </c>
    </row>
    <row r="151" spans="1:18" x14ac:dyDescent="0.3">
      <c r="A151" s="3" t="s">
        <v>1025</v>
      </c>
      <c r="B151" s="3" t="s">
        <v>884</v>
      </c>
      <c r="C151" s="3" t="s">
        <v>850</v>
      </c>
      <c r="D151" s="3" t="s">
        <v>851</v>
      </c>
      <c r="E151" s="3" t="s">
        <v>844</v>
      </c>
      <c r="F151" s="3" t="s">
        <v>79</v>
      </c>
      <c r="G151" s="3" t="s">
        <v>81</v>
      </c>
      <c r="H151" s="3" t="s">
        <v>98</v>
      </c>
      <c r="I151" s="3">
        <v>1</v>
      </c>
      <c r="J151" s="3">
        <v>55473</v>
      </c>
      <c r="K151" s="3">
        <v>55473</v>
      </c>
      <c r="L151" s="3">
        <v>42436</v>
      </c>
      <c r="M151" s="3">
        <v>13037</v>
      </c>
      <c r="N151" s="3">
        <v>12</v>
      </c>
      <c r="O151" s="3" t="s">
        <v>865</v>
      </c>
      <c r="P151" s="3" t="s">
        <v>846</v>
      </c>
      <c r="Q151" s="3">
        <v>3.2</v>
      </c>
      <c r="R151" s="3" t="s">
        <v>861</v>
      </c>
    </row>
    <row r="152" spans="1:18" x14ac:dyDescent="0.3">
      <c r="A152" s="3" t="s">
        <v>1026</v>
      </c>
      <c r="B152" s="3" t="s">
        <v>888</v>
      </c>
      <c r="C152" s="3" t="s">
        <v>870</v>
      </c>
      <c r="D152" s="3" t="s">
        <v>871</v>
      </c>
      <c r="E152" s="3" t="s">
        <v>872</v>
      </c>
      <c r="F152" s="3" t="s">
        <v>125</v>
      </c>
      <c r="G152" s="3" t="s">
        <v>39</v>
      </c>
      <c r="H152" s="3" t="s">
        <v>28</v>
      </c>
      <c r="I152" s="3">
        <v>15</v>
      </c>
      <c r="J152" s="3">
        <v>5448</v>
      </c>
      <c r="K152" s="3">
        <v>81720</v>
      </c>
      <c r="L152" s="3">
        <v>38235</v>
      </c>
      <c r="M152" s="3">
        <v>43485</v>
      </c>
      <c r="N152" s="3">
        <v>1</v>
      </c>
      <c r="O152" s="3" t="s">
        <v>875</v>
      </c>
      <c r="P152" s="3" t="s">
        <v>866</v>
      </c>
      <c r="Q152" s="3">
        <v>4</v>
      </c>
      <c r="R152" s="3" t="s">
        <v>861</v>
      </c>
    </row>
    <row r="153" spans="1:18" x14ac:dyDescent="0.3">
      <c r="A153" s="3" t="s">
        <v>1027</v>
      </c>
      <c r="B153" s="3" t="s">
        <v>857</v>
      </c>
      <c r="C153" s="3" t="s">
        <v>863</v>
      </c>
      <c r="D153" s="3" t="s">
        <v>864</v>
      </c>
      <c r="E153" s="3" t="s">
        <v>844</v>
      </c>
      <c r="F153" s="3" t="s">
        <v>55</v>
      </c>
      <c r="G153" s="3" t="s">
        <v>39</v>
      </c>
      <c r="H153" s="3" t="s">
        <v>38</v>
      </c>
      <c r="I153" s="3">
        <v>15</v>
      </c>
      <c r="J153" s="3">
        <v>12901</v>
      </c>
      <c r="K153" s="3">
        <v>193515</v>
      </c>
      <c r="L153" s="3">
        <v>126195</v>
      </c>
      <c r="M153" s="3">
        <v>67320</v>
      </c>
      <c r="N153" s="3">
        <v>0</v>
      </c>
      <c r="O153" s="3" t="s">
        <v>865</v>
      </c>
      <c r="P153" s="3" t="s">
        <v>846</v>
      </c>
      <c r="Q153" s="3">
        <v>3.5</v>
      </c>
      <c r="R153" s="3" t="s">
        <v>847</v>
      </c>
    </row>
    <row r="154" spans="1:18" x14ac:dyDescent="0.3">
      <c r="A154" s="3" t="s">
        <v>1028</v>
      </c>
      <c r="B154" s="3" t="s">
        <v>868</v>
      </c>
      <c r="C154" s="3" t="s">
        <v>889</v>
      </c>
      <c r="D154" s="3" t="s">
        <v>890</v>
      </c>
      <c r="E154" s="3" t="s">
        <v>872</v>
      </c>
      <c r="F154" s="3" t="s">
        <v>143</v>
      </c>
      <c r="G154" s="3" t="s">
        <v>39</v>
      </c>
      <c r="H154" s="3" t="s">
        <v>49</v>
      </c>
      <c r="I154" s="3">
        <v>10</v>
      </c>
      <c r="J154" s="3">
        <v>11280</v>
      </c>
      <c r="K154" s="3">
        <v>112800</v>
      </c>
      <c r="L154" s="3">
        <v>70240</v>
      </c>
      <c r="M154" s="3">
        <v>42560</v>
      </c>
      <c r="N154" s="3">
        <v>20</v>
      </c>
      <c r="O154" s="3" t="s">
        <v>865</v>
      </c>
      <c r="P154" s="3" t="s">
        <v>855</v>
      </c>
      <c r="Q154" s="3">
        <v>3.1</v>
      </c>
      <c r="R154" s="3" t="s">
        <v>861</v>
      </c>
    </row>
    <row r="155" spans="1:18" x14ac:dyDescent="0.3">
      <c r="A155" s="3" t="s">
        <v>1029</v>
      </c>
      <c r="B155" s="3" t="s">
        <v>874</v>
      </c>
      <c r="C155" s="3" t="s">
        <v>889</v>
      </c>
      <c r="D155" s="3" t="s">
        <v>890</v>
      </c>
      <c r="E155" s="3" t="s">
        <v>872</v>
      </c>
      <c r="F155" s="3" t="s">
        <v>55</v>
      </c>
      <c r="G155" s="3" t="s">
        <v>81</v>
      </c>
      <c r="H155" s="3" t="s">
        <v>98</v>
      </c>
      <c r="I155" s="3">
        <v>7</v>
      </c>
      <c r="J155" s="3">
        <v>10470</v>
      </c>
      <c r="K155" s="3">
        <v>73290</v>
      </c>
      <c r="L155" s="3">
        <v>53662</v>
      </c>
      <c r="M155" s="3">
        <v>19628</v>
      </c>
      <c r="N155" s="3">
        <v>8</v>
      </c>
      <c r="O155" s="3" t="s">
        <v>854</v>
      </c>
      <c r="P155" s="3" t="s">
        <v>866</v>
      </c>
      <c r="Q155" s="3">
        <v>4</v>
      </c>
      <c r="R155" s="3" t="s">
        <v>861</v>
      </c>
    </row>
    <row r="156" spans="1:18" x14ac:dyDescent="0.3">
      <c r="A156" s="3" t="s">
        <v>1030</v>
      </c>
      <c r="B156" s="3" t="s">
        <v>853</v>
      </c>
      <c r="C156" s="3" t="s">
        <v>877</v>
      </c>
      <c r="D156" s="3" t="s">
        <v>878</v>
      </c>
      <c r="E156" s="3" t="s">
        <v>844</v>
      </c>
      <c r="F156" s="3" t="s">
        <v>136</v>
      </c>
      <c r="G156" s="3" t="s">
        <v>39</v>
      </c>
      <c r="H156" s="3" t="s">
        <v>27</v>
      </c>
      <c r="I156" s="3">
        <v>1</v>
      </c>
      <c r="J156" s="3">
        <v>17650</v>
      </c>
      <c r="K156" s="3">
        <v>17650</v>
      </c>
      <c r="L156" s="3">
        <v>12658</v>
      </c>
      <c r="M156" s="3">
        <v>4992</v>
      </c>
      <c r="N156" s="3">
        <v>8</v>
      </c>
      <c r="O156" s="3" t="s">
        <v>875</v>
      </c>
      <c r="P156" s="3" t="s">
        <v>855</v>
      </c>
      <c r="Q156" s="3">
        <v>3.4</v>
      </c>
      <c r="R156" s="3" t="s">
        <v>861</v>
      </c>
    </row>
    <row r="157" spans="1:18" x14ac:dyDescent="0.3">
      <c r="A157" s="3" t="s">
        <v>1031</v>
      </c>
      <c r="B157" s="3" t="s">
        <v>853</v>
      </c>
      <c r="C157" s="3" t="s">
        <v>889</v>
      </c>
      <c r="D157" s="3" t="s">
        <v>890</v>
      </c>
      <c r="E157" s="3" t="s">
        <v>872</v>
      </c>
      <c r="F157" s="3" t="s">
        <v>143</v>
      </c>
      <c r="G157" s="3" t="s">
        <v>81</v>
      </c>
      <c r="H157" s="3" t="s">
        <v>98</v>
      </c>
      <c r="I157" s="3">
        <v>4</v>
      </c>
      <c r="J157" s="3">
        <v>10058</v>
      </c>
      <c r="K157" s="3">
        <v>40232</v>
      </c>
      <c r="L157" s="3">
        <v>26936</v>
      </c>
      <c r="M157" s="3">
        <v>13296</v>
      </c>
      <c r="N157" s="3">
        <v>15</v>
      </c>
      <c r="O157" s="3" t="s">
        <v>875</v>
      </c>
      <c r="P157" s="3" t="s">
        <v>855</v>
      </c>
      <c r="Q157" s="3">
        <v>4.8</v>
      </c>
      <c r="R157" s="3" t="s">
        <v>861</v>
      </c>
    </row>
    <row r="158" spans="1:18" x14ac:dyDescent="0.3">
      <c r="A158" s="3" t="s">
        <v>1032</v>
      </c>
      <c r="B158" s="3" t="s">
        <v>888</v>
      </c>
      <c r="C158" s="3" t="s">
        <v>842</v>
      </c>
      <c r="D158" s="3" t="s">
        <v>843</v>
      </c>
      <c r="E158" s="3" t="s">
        <v>844</v>
      </c>
      <c r="F158" s="3" t="s">
        <v>136</v>
      </c>
      <c r="G158" s="3" t="s">
        <v>39</v>
      </c>
      <c r="H158" s="3" t="s">
        <v>98</v>
      </c>
      <c r="I158" s="3">
        <v>8</v>
      </c>
      <c r="J158" s="3">
        <v>24166</v>
      </c>
      <c r="K158" s="3">
        <v>193328</v>
      </c>
      <c r="L158" s="3">
        <v>146288</v>
      </c>
      <c r="M158" s="3">
        <v>47040</v>
      </c>
      <c r="N158" s="3">
        <v>14</v>
      </c>
      <c r="O158" s="3" t="s">
        <v>854</v>
      </c>
      <c r="P158" s="3" t="s">
        <v>858</v>
      </c>
      <c r="Q158" s="3">
        <v>4.4000000000000004</v>
      </c>
      <c r="R158" s="3" t="s">
        <v>861</v>
      </c>
    </row>
    <row r="159" spans="1:18" x14ac:dyDescent="0.3">
      <c r="A159" s="3" t="s">
        <v>1033</v>
      </c>
      <c r="B159" s="3" t="s">
        <v>886</v>
      </c>
      <c r="C159" s="3" t="s">
        <v>863</v>
      </c>
      <c r="D159" s="3" t="s">
        <v>864</v>
      </c>
      <c r="E159" s="3" t="s">
        <v>844</v>
      </c>
      <c r="F159" s="3" t="s">
        <v>55</v>
      </c>
      <c r="G159" s="3" t="s">
        <v>81</v>
      </c>
      <c r="H159" s="3" t="s">
        <v>38</v>
      </c>
      <c r="I159" s="3">
        <v>10</v>
      </c>
      <c r="J159" s="3">
        <v>12527</v>
      </c>
      <c r="K159" s="3">
        <v>125270</v>
      </c>
      <c r="L159" s="3">
        <v>90970</v>
      </c>
      <c r="M159" s="3">
        <v>34300</v>
      </c>
      <c r="N159" s="3">
        <v>0</v>
      </c>
      <c r="O159" s="3" t="s">
        <v>845</v>
      </c>
      <c r="P159" s="3" t="s">
        <v>846</v>
      </c>
      <c r="Q159" s="3">
        <v>3.2</v>
      </c>
      <c r="R159" s="3" t="s">
        <v>861</v>
      </c>
    </row>
    <row r="160" spans="1:18" x14ac:dyDescent="0.3">
      <c r="A160" s="3" t="s">
        <v>1034</v>
      </c>
      <c r="B160" s="3" t="s">
        <v>897</v>
      </c>
      <c r="C160" s="3" t="s">
        <v>889</v>
      </c>
      <c r="D160" s="3" t="s">
        <v>890</v>
      </c>
      <c r="E160" s="3" t="s">
        <v>872</v>
      </c>
      <c r="F160" s="3" t="s">
        <v>47</v>
      </c>
      <c r="G160" s="3" t="s">
        <v>59</v>
      </c>
      <c r="H160" s="3" t="s">
        <v>27</v>
      </c>
      <c r="I160" s="3">
        <v>2</v>
      </c>
      <c r="J160" s="3">
        <v>9216</v>
      </c>
      <c r="K160" s="3">
        <v>18432</v>
      </c>
      <c r="L160" s="3">
        <v>13566</v>
      </c>
      <c r="M160" s="3">
        <v>4866</v>
      </c>
      <c r="N160" s="3">
        <v>18</v>
      </c>
      <c r="O160" s="3" t="s">
        <v>875</v>
      </c>
      <c r="P160" s="3" t="s">
        <v>855</v>
      </c>
      <c r="Q160" s="3">
        <v>3.1</v>
      </c>
      <c r="R160" s="3" t="s">
        <v>847</v>
      </c>
    </row>
    <row r="161" spans="1:18" x14ac:dyDescent="0.3">
      <c r="A161" s="3" t="s">
        <v>1035</v>
      </c>
      <c r="B161" s="3" t="s">
        <v>907</v>
      </c>
      <c r="C161" s="3" t="s">
        <v>889</v>
      </c>
      <c r="D161" s="3" t="s">
        <v>890</v>
      </c>
      <c r="E161" s="3" t="s">
        <v>872</v>
      </c>
      <c r="F161" s="3" t="s">
        <v>143</v>
      </c>
      <c r="G161" s="3" t="s">
        <v>26</v>
      </c>
      <c r="H161" s="3" t="s">
        <v>25</v>
      </c>
      <c r="I161" s="3">
        <v>11</v>
      </c>
      <c r="J161" s="3">
        <v>11077</v>
      </c>
      <c r="K161" s="3">
        <v>121847</v>
      </c>
      <c r="L161" s="3">
        <v>71819</v>
      </c>
      <c r="M161" s="3">
        <v>50028</v>
      </c>
      <c r="N161" s="3">
        <v>11</v>
      </c>
      <c r="O161" s="3" t="s">
        <v>854</v>
      </c>
      <c r="P161" s="3" t="s">
        <v>858</v>
      </c>
      <c r="Q161" s="3">
        <v>4.5999999999999996</v>
      </c>
      <c r="R161" s="3" t="s">
        <v>847</v>
      </c>
    </row>
    <row r="162" spans="1:18" x14ac:dyDescent="0.3">
      <c r="A162" s="3" t="s">
        <v>1036</v>
      </c>
      <c r="B162" s="3" t="s">
        <v>868</v>
      </c>
      <c r="C162" s="3" t="s">
        <v>870</v>
      </c>
      <c r="D162" s="3" t="s">
        <v>871</v>
      </c>
      <c r="E162" s="3" t="s">
        <v>872</v>
      </c>
      <c r="F162" s="3" t="s">
        <v>55</v>
      </c>
      <c r="G162" s="3" t="s">
        <v>39</v>
      </c>
      <c r="H162" s="3" t="s">
        <v>28</v>
      </c>
      <c r="I162" s="3">
        <v>9</v>
      </c>
      <c r="J162" s="3">
        <v>4801</v>
      </c>
      <c r="K162" s="3">
        <v>43209</v>
      </c>
      <c r="L162" s="3">
        <v>26244</v>
      </c>
      <c r="M162" s="3">
        <v>16965</v>
      </c>
      <c r="N162" s="3">
        <v>2</v>
      </c>
      <c r="O162" s="3" t="s">
        <v>845</v>
      </c>
      <c r="P162" s="3" t="s">
        <v>846</v>
      </c>
      <c r="Q162" s="3">
        <v>3.4</v>
      </c>
      <c r="R162" s="3" t="s">
        <v>847</v>
      </c>
    </row>
    <row r="163" spans="1:18" x14ac:dyDescent="0.3">
      <c r="A163" s="3" t="s">
        <v>1037</v>
      </c>
      <c r="B163" s="3" t="s">
        <v>942</v>
      </c>
      <c r="C163" s="3" t="s">
        <v>870</v>
      </c>
      <c r="D163" s="3" t="s">
        <v>871</v>
      </c>
      <c r="E163" s="3" t="s">
        <v>872</v>
      </c>
      <c r="F163" s="3" t="s">
        <v>68</v>
      </c>
      <c r="G163" s="3" t="s">
        <v>26</v>
      </c>
      <c r="H163" s="3" t="s">
        <v>25</v>
      </c>
      <c r="I163" s="3">
        <v>12</v>
      </c>
      <c r="J163" s="3">
        <v>4833</v>
      </c>
      <c r="K163" s="3">
        <v>57996</v>
      </c>
      <c r="L163" s="3">
        <v>42048</v>
      </c>
      <c r="M163" s="3">
        <v>15948</v>
      </c>
      <c r="N163" s="3">
        <v>1</v>
      </c>
      <c r="O163" s="3" t="s">
        <v>854</v>
      </c>
      <c r="P163" s="3" t="s">
        <v>846</v>
      </c>
      <c r="Q163" s="3">
        <v>3.2</v>
      </c>
      <c r="R163" s="3" t="s">
        <v>847</v>
      </c>
    </row>
    <row r="164" spans="1:18" x14ac:dyDescent="0.3">
      <c r="A164" s="3" t="s">
        <v>1038</v>
      </c>
      <c r="B164" s="3" t="s">
        <v>868</v>
      </c>
      <c r="C164" s="3" t="s">
        <v>889</v>
      </c>
      <c r="D164" s="3" t="s">
        <v>890</v>
      </c>
      <c r="E164" s="3" t="s">
        <v>872</v>
      </c>
      <c r="F164" s="3" t="s">
        <v>55</v>
      </c>
      <c r="G164" s="3" t="s">
        <v>81</v>
      </c>
      <c r="H164" s="3" t="s">
        <v>98</v>
      </c>
      <c r="I164" s="3">
        <v>2</v>
      </c>
      <c r="J164" s="3">
        <v>9749</v>
      </c>
      <c r="K164" s="3">
        <v>19498</v>
      </c>
      <c r="L164" s="3">
        <v>15152</v>
      </c>
      <c r="M164" s="3">
        <v>4346</v>
      </c>
      <c r="N164" s="3">
        <v>5</v>
      </c>
      <c r="O164" s="3" t="s">
        <v>865</v>
      </c>
      <c r="P164" s="3" t="s">
        <v>855</v>
      </c>
      <c r="Q164" s="3">
        <v>3.8</v>
      </c>
      <c r="R164" s="3" t="s">
        <v>861</v>
      </c>
    </row>
    <row r="165" spans="1:18" x14ac:dyDescent="0.3">
      <c r="A165" s="3" t="s">
        <v>1039</v>
      </c>
      <c r="B165" s="3" t="s">
        <v>884</v>
      </c>
      <c r="C165" s="3" t="s">
        <v>850</v>
      </c>
      <c r="D165" s="3" t="s">
        <v>851</v>
      </c>
      <c r="E165" s="3" t="s">
        <v>844</v>
      </c>
      <c r="F165" s="3" t="s">
        <v>47</v>
      </c>
      <c r="G165" s="3" t="s">
        <v>81</v>
      </c>
      <c r="H165" s="3" t="s">
        <v>28</v>
      </c>
      <c r="I165" s="3">
        <v>7</v>
      </c>
      <c r="J165" s="3">
        <v>54320</v>
      </c>
      <c r="K165" s="3">
        <v>380240</v>
      </c>
      <c r="L165" s="3">
        <v>298200</v>
      </c>
      <c r="M165" s="3">
        <v>82040</v>
      </c>
      <c r="N165" s="3">
        <v>7</v>
      </c>
      <c r="O165" s="3" t="s">
        <v>875</v>
      </c>
      <c r="P165" s="3" t="s">
        <v>846</v>
      </c>
      <c r="Q165" s="3">
        <v>4.9000000000000004</v>
      </c>
      <c r="R165" s="3" t="s">
        <v>847</v>
      </c>
    </row>
    <row r="166" spans="1:18" x14ac:dyDescent="0.3">
      <c r="A166" s="3" t="s">
        <v>1040</v>
      </c>
      <c r="B166" s="3" t="s">
        <v>868</v>
      </c>
      <c r="C166" s="3" t="s">
        <v>842</v>
      </c>
      <c r="D166" s="3" t="s">
        <v>843</v>
      </c>
      <c r="E166" s="3" t="s">
        <v>844</v>
      </c>
      <c r="F166" s="3" t="s">
        <v>125</v>
      </c>
      <c r="G166" s="3" t="s">
        <v>26</v>
      </c>
      <c r="H166" s="3" t="s">
        <v>27</v>
      </c>
      <c r="I166" s="3">
        <v>14</v>
      </c>
      <c r="J166" s="3">
        <v>24853</v>
      </c>
      <c r="K166" s="3">
        <v>347942</v>
      </c>
      <c r="L166" s="3">
        <v>258692</v>
      </c>
      <c r="M166" s="3">
        <v>89250</v>
      </c>
      <c r="N166" s="3">
        <v>10</v>
      </c>
      <c r="O166" s="3" t="s">
        <v>865</v>
      </c>
      <c r="P166" s="3" t="s">
        <v>846</v>
      </c>
      <c r="Q166" s="3">
        <v>3.3</v>
      </c>
      <c r="R166" s="3" t="s">
        <v>861</v>
      </c>
    </row>
    <row r="167" spans="1:18" x14ac:dyDescent="0.3">
      <c r="A167" s="3" t="s">
        <v>1041</v>
      </c>
      <c r="B167" s="3" t="s">
        <v>849</v>
      </c>
      <c r="C167" s="3" t="s">
        <v>889</v>
      </c>
      <c r="D167" s="3" t="s">
        <v>890</v>
      </c>
      <c r="E167" s="3" t="s">
        <v>872</v>
      </c>
      <c r="F167" s="3" t="s">
        <v>68</v>
      </c>
      <c r="G167" s="3" t="s">
        <v>81</v>
      </c>
      <c r="H167" s="3" t="s">
        <v>28</v>
      </c>
      <c r="I167" s="3">
        <v>3</v>
      </c>
      <c r="J167" s="3">
        <v>9859</v>
      </c>
      <c r="K167" s="3">
        <v>29577</v>
      </c>
      <c r="L167" s="3">
        <v>19089</v>
      </c>
      <c r="M167" s="3">
        <v>10488</v>
      </c>
      <c r="N167" s="3">
        <v>3</v>
      </c>
      <c r="O167" s="3" t="s">
        <v>845</v>
      </c>
      <c r="P167" s="3" t="s">
        <v>855</v>
      </c>
      <c r="Q167" s="3">
        <v>3.4</v>
      </c>
      <c r="R167" s="3" t="s">
        <v>861</v>
      </c>
    </row>
    <row r="168" spans="1:18" x14ac:dyDescent="0.3">
      <c r="A168" s="3" t="s">
        <v>1042</v>
      </c>
      <c r="B168" s="3" t="s">
        <v>857</v>
      </c>
      <c r="C168" s="3" t="s">
        <v>850</v>
      </c>
      <c r="D168" s="3" t="s">
        <v>851</v>
      </c>
      <c r="E168" s="3" t="s">
        <v>844</v>
      </c>
      <c r="F168" s="3" t="s">
        <v>75</v>
      </c>
      <c r="G168" s="3" t="s">
        <v>81</v>
      </c>
      <c r="H168" s="3" t="s">
        <v>38</v>
      </c>
      <c r="I168" s="3">
        <v>11</v>
      </c>
      <c r="J168" s="3">
        <v>56380</v>
      </c>
      <c r="K168" s="3">
        <v>620180</v>
      </c>
      <c r="L168" s="3">
        <v>454795</v>
      </c>
      <c r="M168" s="3">
        <v>165385</v>
      </c>
      <c r="N168" s="3">
        <v>4</v>
      </c>
      <c r="O168" s="3" t="s">
        <v>854</v>
      </c>
      <c r="P168" s="3" t="s">
        <v>858</v>
      </c>
      <c r="Q168" s="3">
        <v>4.7</v>
      </c>
      <c r="R168" s="3" t="s">
        <v>861</v>
      </c>
    </row>
    <row r="169" spans="1:18" x14ac:dyDescent="0.3">
      <c r="A169" s="3" t="s">
        <v>1043</v>
      </c>
      <c r="B169" s="3" t="s">
        <v>874</v>
      </c>
      <c r="C169" s="3" t="s">
        <v>889</v>
      </c>
      <c r="D169" s="3" t="s">
        <v>890</v>
      </c>
      <c r="E169" s="3" t="s">
        <v>872</v>
      </c>
      <c r="F169" s="3" t="s">
        <v>79</v>
      </c>
      <c r="G169" s="3" t="s">
        <v>59</v>
      </c>
      <c r="H169" s="3" t="s">
        <v>49</v>
      </c>
      <c r="I169" s="3">
        <v>3</v>
      </c>
      <c r="J169" s="3">
        <v>10864</v>
      </c>
      <c r="K169" s="3">
        <v>32592</v>
      </c>
      <c r="L169" s="3">
        <v>20697</v>
      </c>
      <c r="M169" s="3">
        <v>11895</v>
      </c>
      <c r="N169" s="3">
        <v>12</v>
      </c>
      <c r="O169" s="3" t="s">
        <v>865</v>
      </c>
      <c r="P169" s="3" t="s">
        <v>866</v>
      </c>
      <c r="Q169" s="3">
        <v>4.9000000000000004</v>
      </c>
      <c r="R169" s="3" t="s">
        <v>861</v>
      </c>
    </row>
    <row r="170" spans="1:18" x14ac:dyDescent="0.3">
      <c r="A170" s="3" t="s">
        <v>1044</v>
      </c>
      <c r="B170" s="3" t="s">
        <v>849</v>
      </c>
      <c r="C170" s="3" t="s">
        <v>850</v>
      </c>
      <c r="D170" s="3" t="s">
        <v>851</v>
      </c>
      <c r="E170" s="3" t="s">
        <v>844</v>
      </c>
      <c r="F170" s="3" t="s">
        <v>136</v>
      </c>
      <c r="G170" s="3" t="s">
        <v>59</v>
      </c>
      <c r="H170" s="3" t="s">
        <v>25</v>
      </c>
      <c r="I170" s="3">
        <v>15</v>
      </c>
      <c r="J170" s="3">
        <v>55446</v>
      </c>
      <c r="K170" s="3">
        <v>831690</v>
      </c>
      <c r="L170" s="3">
        <v>628230</v>
      </c>
      <c r="M170" s="3">
        <v>203460</v>
      </c>
      <c r="N170" s="3">
        <v>6</v>
      </c>
      <c r="O170" s="3" t="s">
        <v>865</v>
      </c>
      <c r="P170" s="3" t="s">
        <v>846</v>
      </c>
      <c r="Q170" s="3">
        <v>4.3</v>
      </c>
      <c r="R170" s="3" t="s">
        <v>861</v>
      </c>
    </row>
    <row r="171" spans="1:18" x14ac:dyDescent="0.3">
      <c r="A171" s="3" t="s">
        <v>1045</v>
      </c>
      <c r="B171" s="3" t="s">
        <v>942</v>
      </c>
      <c r="C171" s="3" t="s">
        <v>877</v>
      </c>
      <c r="D171" s="3" t="s">
        <v>878</v>
      </c>
      <c r="E171" s="3" t="s">
        <v>844</v>
      </c>
      <c r="F171" s="3" t="s">
        <v>75</v>
      </c>
      <c r="G171" s="3" t="s">
        <v>59</v>
      </c>
      <c r="H171" s="3" t="s">
        <v>28</v>
      </c>
      <c r="I171" s="3">
        <v>1</v>
      </c>
      <c r="J171" s="3">
        <v>17738</v>
      </c>
      <c r="K171" s="3">
        <v>17738</v>
      </c>
      <c r="L171" s="3">
        <v>12563</v>
      </c>
      <c r="M171" s="3">
        <v>5175</v>
      </c>
      <c r="N171" s="3">
        <v>3</v>
      </c>
      <c r="O171" s="3" t="s">
        <v>875</v>
      </c>
      <c r="P171" s="3" t="s">
        <v>855</v>
      </c>
      <c r="Q171" s="3">
        <v>4</v>
      </c>
      <c r="R171" s="3" t="s">
        <v>861</v>
      </c>
    </row>
    <row r="172" spans="1:18" x14ac:dyDescent="0.3">
      <c r="A172" s="3" t="s">
        <v>1046</v>
      </c>
      <c r="B172" s="3" t="s">
        <v>886</v>
      </c>
      <c r="C172" s="3" t="s">
        <v>850</v>
      </c>
      <c r="D172" s="3" t="s">
        <v>851</v>
      </c>
      <c r="E172" s="3" t="s">
        <v>844</v>
      </c>
      <c r="F172" s="3" t="s">
        <v>47</v>
      </c>
      <c r="G172" s="3" t="s">
        <v>39</v>
      </c>
      <c r="H172" s="3" t="s">
        <v>98</v>
      </c>
      <c r="I172" s="3">
        <v>1</v>
      </c>
      <c r="J172" s="3">
        <v>55166</v>
      </c>
      <c r="K172" s="3">
        <v>55166</v>
      </c>
      <c r="L172" s="3">
        <v>42276</v>
      </c>
      <c r="M172" s="3">
        <v>12890</v>
      </c>
      <c r="N172" s="3">
        <v>15</v>
      </c>
      <c r="O172" s="3" t="s">
        <v>875</v>
      </c>
      <c r="P172" s="3" t="s">
        <v>858</v>
      </c>
      <c r="Q172" s="3">
        <v>4.5999999999999996</v>
      </c>
      <c r="R172" s="3" t="s">
        <v>847</v>
      </c>
    </row>
    <row r="173" spans="1:18" x14ac:dyDescent="0.3">
      <c r="A173" s="3" t="s">
        <v>1047</v>
      </c>
      <c r="B173" s="3" t="s">
        <v>897</v>
      </c>
      <c r="C173" s="3" t="s">
        <v>842</v>
      </c>
      <c r="D173" s="3" t="s">
        <v>843</v>
      </c>
      <c r="E173" s="3" t="s">
        <v>844</v>
      </c>
      <c r="F173" s="3" t="s">
        <v>47</v>
      </c>
      <c r="G173" s="3" t="s">
        <v>26</v>
      </c>
      <c r="H173" s="3" t="s">
        <v>98</v>
      </c>
      <c r="I173" s="3">
        <v>1</v>
      </c>
      <c r="J173" s="3">
        <v>25818</v>
      </c>
      <c r="K173" s="3">
        <v>25818</v>
      </c>
      <c r="L173" s="3">
        <v>18078</v>
      </c>
      <c r="M173" s="3">
        <v>7740</v>
      </c>
      <c r="N173" s="3">
        <v>6</v>
      </c>
      <c r="O173" s="3" t="s">
        <v>875</v>
      </c>
      <c r="P173" s="3" t="s">
        <v>858</v>
      </c>
      <c r="Q173" s="3">
        <v>3</v>
      </c>
      <c r="R173" s="3" t="s">
        <v>847</v>
      </c>
    </row>
    <row r="174" spans="1:18" x14ac:dyDescent="0.3">
      <c r="A174" s="3" t="s">
        <v>1048</v>
      </c>
      <c r="B174" s="3" t="s">
        <v>897</v>
      </c>
      <c r="C174" s="3" t="s">
        <v>842</v>
      </c>
      <c r="D174" s="3" t="s">
        <v>843</v>
      </c>
      <c r="E174" s="3" t="s">
        <v>844</v>
      </c>
      <c r="F174" s="3" t="s">
        <v>47</v>
      </c>
      <c r="G174" s="3" t="s">
        <v>59</v>
      </c>
      <c r="H174" s="3" t="s">
        <v>98</v>
      </c>
      <c r="I174" s="3">
        <v>14</v>
      </c>
      <c r="J174" s="3">
        <v>25138</v>
      </c>
      <c r="K174" s="3">
        <v>351932</v>
      </c>
      <c r="L174" s="3">
        <v>243936</v>
      </c>
      <c r="M174" s="3">
        <v>107996</v>
      </c>
      <c r="N174" s="3">
        <v>18</v>
      </c>
      <c r="O174" s="3" t="s">
        <v>854</v>
      </c>
      <c r="P174" s="3" t="s">
        <v>866</v>
      </c>
      <c r="Q174" s="3">
        <v>4.2</v>
      </c>
      <c r="R174" s="3" t="s">
        <v>847</v>
      </c>
    </row>
    <row r="175" spans="1:18" x14ac:dyDescent="0.3">
      <c r="A175" s="3" t="s">
        <v>1049</v>
      </c>
      <c r="B175" s="3" t="s">
        <v>897</v>
      </c>
      <c r="C175" s="3" t="s">
        <v>889</v>
      </c>
      <c r="D175" s="3" t="s">
        <v>890</v>
      </c>
      <c r="E175" s="3" t="s">
        <v>872</v>
      </c>
      <c r="F175" s="3" t="s">
        <v>75</v>
      </c>
      <c r="G175" s="3" t="s">
        <v>39</v>
      </c>
      <c r="H175" s="3" t="s">
        <v>49</v>
      </c>
      <c r="I175" s="3">
        <v>4</v>
      </c>
      <c r="J175" s="3">
        <v>9735</v>
      </c>
      <c r="K175" s="3">
        <v>38940</v>
      </c>
      <c r="L175" s="3">
        <v>30744</v>
      </c>
      <c r="M175" s="3">
        <v>8196</v>
      </c>
      <c r="N175" s="3">
        <v>4</v>
      </c>
      <c r="O175" s="3" t="s">
        <v>845</v>
      </c>
      <c r="P175" s="3" t="s">
        <v>846</v>
      </c>
      <c r="Q175" s="3">
        <v>5</v>
      </c>
      <c r="R175" s="3" t="s">
        <v>861</v>
      </c>
    </row>
    <row r="176" spans="1:18" x14ac:dyDescent="0.3">
      <c r="A176" s="3" t="s">
        <v>1050</v>
      </c>
      <c r="B176" s="3" t="s">
        <v>853</v>
      </c>
      <c r="C176" s="3" t="s">
        <v>877</v>
      </c>
      <c r="D176" s="3" t="s">
        <v>878</v>
      </c>
      <c r="E176" s="3" t="s">
        <v>844</v>
      </c>
      <c r="F176" s="3" t="s">
        <v>143</v>
      </c>
      <c r="G176" s="3" t="s">
        <v>81</v>
      </c>
      <c r="H176" s="3" t="s">
        <v>38</v>
      </c>
      <c r="I176" s="3">
        <v>6</v>
      </c>
      <c r="J176" s="3">
        <v>19430</v>
      </c>
      <c r="K176" s="3">
        <v>116580</v>
      </c>
      <c r="L176" s="3">
        <v>80394</v>
      </c>
      <c r="M176" s="3">
        <v>36186</v>
      </c>
      <c r="N176" s="3">
        <v>15</v>
      </c>
      <c r="O176" s="3" t="s">
        <v>875</v>
      </c>
      <c r="P176" s="3" t="s">
        <v>858</v>
      </c>
      <c r="Q176" s="3">
        <v>3.2</v>
      </c>
      <c r="R176" s="3" t="s">
        <v>847</v>
      </c>
    </row>
    <row r="177" spans="1:18" x14ac:dyDescent="0.3">
      <c r="A177" s="3" t="s">
        <v>1051</v>
      </c>
      <c r="B177" s="3" t="s">
        <v>888</v>
      </c>
      <c r="C177" s="3" t="s">
        <v>850</v>
      </c>
      <c r="D177" s="3" t="s">
        <v>851</v>
      </c>
      <c r="E177" s="3" t="s">
        <v>844</v>
      </c>
      <c r="F177" s="3" t="s">
        <v>136</v>
      </c>
      <c r="G177" s="3" t="s">
        <v>26</v>
      </c>
      <c r="H177" s="3" t="s">
        <v>27</v>
      </c>
      <c r="I177" s="3">
        <v>2</v>
      </c>
      <c r="J177" s="3">
        <v>54819</v>
      </c>
      <c r="K177" s="3">
        <v>109638</v>
      </c>
      <c r="L177" s="3">
        <v>85278</v>
      </c>
      <c r="M177" s="3">
        <v>24360</v>
      </c>
      <c r="N177" s="3">
        <v>7</v>
      </c>
      <c r="O177" s="3" t="s">
        <v>865</v>
      </c>
      <c r="P177" s="3" t="s">
        <v>855</v>
      </c>
      <c r="Q177" s="3">
        <v>4.0999999999999996</v>
      </c>
      <c r="R177" s="3" t="s">
        <v>861</v>
      </c>
    </row>
    <row r="178" spans="1:18" x14ac:dyDescent="0.3">
      <c r="A178" s="3" t="s">
        <v>1052</v>
      </c>
      <c r="B178" s="3" t="s">
        <v>886</v>
      </c>
      <c r="C178" s="3" t="s">
        <v>870</v>
      </c>
      <c r="D178" s="3" t="s">
        <v>871</v>
      </c>
      <c r="E178" s="3" t="s">
        <v>872</v>
      </c>
      <c r="F178" s="3" t="s">
        <v>143</v>
      </c>
      <c r="G178" s="3" t="s">
        <v>39</v>
      </c>
      <c r="H178" s="3" t="s">
        <v>98</v>
      </c>
      <c r="I178" s="3">
        <v>4</v>
      </c>
      <c r="J178" s="3">
        <v>4516</v>
      </c>
      <c r="K178" s="3">
        <v>18064</v>
      </c>
      <c r="L178" s="3">
        <v>11284</v>
      </c>
      <c r="M178" s="3">
        <v>6780</v>
      </c>
      <c r="N178" s="3">
        <v>1</v>
      </c>
      <c r="O178" s="3" t="s">
        <v>854</v>
      </c>
      <c r="P178" s="3" t="s">
        <v>855</v>
      </c>
      <c r="Q178" s="3">
        <v>4.5</v>
      </c>
      <c r="R178" s="3" t="s">
        <v>847</v>
      </c>
    </row>
    <row r="179" spans="1:18" x14ac:dyDescent="0.3">
      <c r="A179" s="3" t="s">
        <v>1053</v>
      </c>
      <c r="B179" s="3" t="s">
        <v>897</v>
      </c>
      <c r="C179" s="3" t="s">
        <v>863</v>
      </c>
      <c r="D179" s="3" t="s">
        <v>864</v>
      </c>
      <c r="E179" s="3" t="s">
        <v>844</v>
      </c>
      <c r="F179" s="3" t="s">
        <v>143</v>
      </c>
      <c r="G179" s="3" t="s">
        <v>39</v>
      </c>
      <c r="H179" s="3" t="s">
        <v>38</v>
      </c>
      <c r="I179" s="3">
        <v>6</v>
      </c>
      <c r="J179" s="3">
        <v>12766</v>
      </c>
      <c r="K179" s="3">
        <v>76596</v>
      </c>
      <c r="L179" s="3">
        <v>54690</v>
      </c>
      <c r="M179" s="3">
        <v>21906</v>
      </c>
      <c r="N179" s="3">
        <v>8</v>
      </c>
      <c r="O179" s="3" t="s">
        <v>875</v>
      </c>
      <c r="P179" s="3" t="s">
        <v>846</v>
      </c>
      <c r="Q179" s="3">
        <v>4.5</v>
      </c>
      <c r="R179" s="3" t="s">
        <v>861</v>
      </c>
    </row>
    <row r="180" spans="1:18" x14ac:dyDescent="0.3">
      <c r="A180" s="3" t="s">
        <v>1054</v>
      </c>
      <c r="B180" s="3" t="s">
        <v>849</v>
      </c>
      <c r="C180" s="3" t="s">
        <v>877</v>
      </c>
      <c r="D180" s="3" t="s">
        <v>878</v>
      </c>
      <c r="E180" s="3" t="s">
        <v>844</v>
      </c>
      <c r="F180" s="3" t="s">
        <v>68</v>
      </c>
      <c r="G180" s="3" t="s">
        <v>59</v>
      </c>
      <c r="H180" s="3" t="s">
        <v>49</v>
      </c>
      <c r="I180" s="3">
        <v>2</v>
      </c>
      <c r="J180" s="3">
        <v>17745</v>
      </c>
      <c r="K180" s="3">
        <v>35490</v>
      </c>
      <c r="L180" s="3">
        <v>26586</v>
      </c>
      <c r="M180" s="3">
        <v>8904</v>
      </c>
      <c r="N180" s="3">
        <v>0</v>
      </c>
      <c r="O180" s="3" t="s">
        <v>845</v>
      </c>
      <c r="P180" s="3" t="s">
        <v>858</v>
      </c>
      <c r="Q180" s="3">
        <v>4.8</v>
      </c>
      <c r="R180" s="3" t="s">
        <v>847</v>
      </c>
    </row>
    <row r="181" spans="1:18" x14ac:dyDescent="0.3">
      <c r="A181" s="3" t="s">
        <v>1055</v>
      </c>
      <c r="B181" s="3" t="s">
        <v>841</v>
      </c>
      <c r="C181" s="3" t="s">
        <v>870</v>
      </c>
      <c r="D181" s="3" t="s">
        <v>871</v>
      </c>
      <c r="E181" s="3" t="s">
        <v>872</v>
      </c>
      <c r="F181" s="3" t="s">
        <v>125</v>
      </c>
      <c r="G181" s="3" t="s">
        <v>59</v>
      </c>
      <c r="H181" s="3" t="s">
        <v>25</v>
      </c>
      <c r="I181" s="3">
        <v>8</v>
      </c>
      <c r="J181" s="3">
        <v>6043</v>
      </c>
      <c r="K181" s="3">
        <v>48344</v>
      </c>
      <c r="L181" s="3">
        <v>26728</v>
      </c>
      <c r="M181" s="3">
        <v>21616</v>
      </c>
      <c r="N181" s="3">
        <v>20</v>
      </c>
      <c r="O181" s="3" t="s">
        <v>875</v>
      </c>
      <c r="P181" s="3" t="s">
        <v>846</v>
      </c>
      <c r="Q181" s="3">
        <v>5</v>
      </c>
      <c r="R181" s="3" t="s">
        <v>861</v>
      </c>
    </row>
    <row r="182" spans="1:18" x14ac:dyDescent="0.3">
      <c r="A182" s="3" t="s">
        <v>1056</v>
      </c>
      <c r="B182" s="3" t="s">
        <v>897</v>
      </c>
      <c r="C182" s="3" t="s">
        <v>863</v>
      </c>
      <c r="D182" s="3" t="s">
        <v>864</v>
      </c>
      <c r="E182" s="3" t="s">
        <v>844</v>
      </c>
      <c r="F182" s="3" t="s">
        <v>55</v>
      </c>
      <c r="G182" s="3" t="s">
        <v>81</v>
      </c>
      <c r="H182" s="3" t="s">
        <v>27</v>
      </c>
      <c r="I182" s="3">
        <v>11</v>
      </c>
      <c r="J182" s="3">
        <v>13174</v>
      </c>
      <c r="K182" s="3">
        <v>144914</v>
      </c>
      <c r="L182" s="3">
        <v>90321</v>
      </c>
      <c r="M182" s="3">
        <v>54593</v>
      </c>
      <c r="N182" s="3">
        <v>0</v>
      </c>
      <c r="O182" s="3" t="s">
        <v>865</v>
      </c>
      <c r="P182" s="3" t="s">
        <v>855</v>
      </c>
      <c r="Q182" s="3">
        <v>3.4</v>
      </c>
      <c r="R182" s="3" t="s">
        <v>847</v>
      </c>
    </row>
    <row r="183" spans="1:18" x14ac:dyDescent="0.3">
      <c r="A183" s="3" t="s">
        <v>1057</v>
      </c>
      <c r="B183" s="3" t="s">
        <v>942</v>
      </c>
      <c r="C183" s="3" t="s">
        <v>850</v>
      </c>
      <c r="D183" s="3" t="s">
        <v>851</v>
      </c>
      <c r="E183" s="3" t="s">
        <v>844</v>
      </c>
      <c r="F183" s="3" t="s">
        <v>125</v>
      </c>
      <c r="G183" s="3" t="s">
        <v>81</v>
      </c>
      <c r="H183" s="3" t="s">
        <v>28</v>
      </c>
      <c r="I183" s="3">
        <v>4</v>
      </c>
      <c r="J183" s="3">
        <v>54696</v>
      </c>
      <c r="K183" s="3">
        <v>218784</v>
      </c>
      <c r="L183" s="3">
        <v>165996</v>
      </c>
      <c r="M183" s="3">
        <v>52788</v>
      </c>
      <c r="N183" s="3">
        <v>8</v>
      </c>
      <c r="O183" s="3" t="s">
        <v>854</v>
      </c>
      <c r="P183" s="3" t="s">
        <v>866</v>
      </c>
      <c r="Q183" s="3">
        <v>3.4</v>
      </c>
      <c r="R183" s="3" t="s">
        <v>861</v>
      </c>
    </row>
    <row r="184" spans="1:18" x14ac:dyDescent="0.3">
      <c r="A184" s="3" t="s">
        <v>1058</v>
      </c>
      <c r="B184" s="3" t="s">
        <v>907</v>
      </c>
      <c r="C184" s="3" t="s">
        <v>842</v>
      </c>
      <c r="D184" s="3" t="s">
        <v>843</v>
      </c>
      <c r="E184" s="3" t="s">
        <v>844</v>
      </c>
      <c r="F184" s="3" t="s">
        <v>136</v>
      </c>
      <c r="G184" s="3" t="s">
        <v>59</v>
      </c>
      <c r="H184" s="3" t="s">
        <v>98</v>
      </c>
      <c r="I184" s="3">
        <v>7</v>
      </c>
      <c r="J184" s="3">
        <v>24567</v>
      </c>
      <c r="K184" s="3">
        <v>171969</v>
      </c>
      <c r="L184" s="3">
        <v>127211</v>
      </c>
      <c r="M184" s="3">
        <v>44758</v>
      </c>
      <c r="N184" s="3">
        <v>16</v>
      </c>
      <c r="O184" s="3" t="s">
        <v>875</v>
      </c>
      <c r="P184" s="3" t="s">
        <v>855</v>
      </c>
      <c r="Q184" s="3">
        <v>3.6</v>
      </c>
      <c r="R184" s="3" t="s">
        <v>847</v>
      </c>
    </row>
    <row r="185" spans="1:18" x14ac:dyDescent="0.3">
      <c r="A185" s="3" t="s">
        <v>1059</v>
      </c>
      <c r="B185" s="3" t="s">
        <v>849</v>
      </c>
      <c r="C185" s="3" t="s">
        <v>863</v>
      </c>
      <c r="D185" s="3" t="s">
        <v>864</v>
      </c>
      <c r="E185" s="3" t="s">
        <v>844</v>
      </c>
      <c r="F185" s="3" t="s">
        <v>136</v>
      </c>
      <c r="G185" s="3" t="s">
        <v>39</v>
      </c>
      <c r="H185" s="3" t="s">
        <v>27</v>
      </c>
      <c r="I185" s="3">
        <v>14</v>
      </c>
      <c r="J185" s="3">
        <v>12498</v>
      </c>
      <c r="K185" s="3">
        <v>174972</v>
      </c>
      <c r="L185" s="3">
        <v>118552</v>
      </c>
      <c r="M185" s="3">
        <v>56420</v>
      </c>
      <c r="N185" s="3">
        <v>17</v>
      </c>
      <c r="O185" s="3" t="s">
        <v>865</v>
      </c>
      <c r="P185" s="3" t="s">
        <v>855</v>
      </c>
      <c r="Q185" s="3">
        <v>4.7</v>
      </c>
      <c r="R185" s="3" t="s">
        <v>847</v>
      </c>
    </row>
    <row r="186" spans="1:18" x14ac:dyDescent="0.3">
      <c r="A186" s="3" t="s">
        <v>1060</v>
      </c>
      <c r="B186" s="3" t="s">
        <v>849</v>
      </c>
      <c r="C186" s="3" t="s">
        <v>870</v>
      </c>
      <c r="D186" s="3" t="s">
        <v>871</v>
      </c>
      <c r="E186" s="3" t="s">
        <v>872</v>
      </c>
      <c r="F186" s="3" t="s">
        <v>47</v>
      </c>
      <c r="G186" s="3" t="s">
        <v>81</v>
      </c>
      <c r="H186" s="3" t="s">
        <v>98</v>
      </c>
      <c r="I186" s="3">
        <v>13</v>
      </c>
      <c r="J186" s="3">
        <v>5769</v>
      </c>
      <c r="K186" s="3">
        <v>74997</v>
      </c>
      <c r="L186" s="3">
        <v>47736</v>
      </c>
      <c r="M186" s="3">
        <v>27261</v>
      </c>
      <c r="N186" s="3">
        <v>13</v>
      </c>
      <c r="O186" s="3" t="s">
        <v>845</v>
      </c>
      <c r="P186" s="3" t="s">
        <v>846</v>
      </c>
      <c r="Q186" s="3">
        <v>3.1</v>
      </c>
      <c r="R186" s="3" t="s">
        <v>847</v>
      </c>
    </row>
    <row r="187" spans="1:18" x14ac:dyDescent="0.3">
      <c r="A187" s="3" t="s">
        <v>1061</v>
      </c>
      <c r="B187" s="3" t="s">
        <v>841</v>
      </c>
      <c r="C187" s="3" t="s">
        <v>889</v>
      </c>
      <c r="D187" s="3" t="s">
        <v>890</v>
      </c>
      <c r="E187" s="3" t="s">
        <v>872</v>
      </c>
      <c r="F187" s="3" t="s">
        <v>75</v>
      </c>
      <c r="G187" s="3" t="s">
        <v>81</v>
      </c>
      <c r="H187" s="3" t="s">
        <v>27</v>
      </c>
      <c r="I187" s="3">
        <v>10</v>
      </c>
      <c r="J187" s="3">
        <v>9175</v>
      </c>
      <c r="K187" s="3">
        <v>91750</v>
      </c>
      <c r="L187" s="3">
        <v>75670</v>
      </c>
      <c r="M187" s="3">
        <v>16080</v>
      </c>
      <c r="N187" s="3">
        <v>3</v>
      </c>
      <c r="O187" s="3" t="s">
        <v>854</v>
      </c>
      <c r="P187" s="3" t="s">
        <v>866</v>
      </c>
      <c r="Q187" s="3">
        <v>3.6</v>
      </c>
      <c r="R187" s="3" t="s">
        <v>861</v>
      </c>
    </row>
    <row r="188" spans="1:18" x14ac:dyDescent="0.3">
      <c r="A188" s="3" t="s">
        <v>1062</v>
      </c>
      <c r="B188" s="3" t="s">
        <v>942</v>
      </c>
      <c r="C188" s="3" t="s">
        <v>863</v>
      </c>
      <c r="D188" s="3" t="s">
        <v>864</v>
      </c>
      <c r="E188" s="3" t="s">
        <v>844</v>
      </c>
      <c r="F188" s="3" t="s">
        <v>68</v>
      </c>
      <c r="G188" s="3" t="s">
        <v>26</v>
      </c>
      <c r="H188" s="3" t="s">
        <v>27</v>
      </c>
      <c r="I188" s="3">
        <v>7</v>
      </c>
      <c r="J188" s="3">
        <v>12675</v>
      </c>
      <c r="K188" s="3">
        <v>88725</v>
      </c>
      <c r="L188" s="3">
        <v>58079</v>
      </c>
      <c r="M188" s="3">
        <v>30646</v>
      </c>
      <c r="N188" s="3">
        <v>17</v>
      </c>
      <c r="O188" s="3" t="s">
        <v>875</v>
      </c>
      <c r="P188" s="3" t="s">
        <v>858</v>
      </c>
      <c r="Q188" s="3">
        <v>4.0999999999999996</v>
      </c>
      <c r="R188" s="3" t="s">
        <v>861</v>
      </c>
    </row>
    <row r="189" spans="1:18" x14ac:dyDescent="0.3">
      <c r="A189" s="3" t="s">
        <v>1063</v>
      </c>
      <c r="B189" s="3" t="s">
        <v>897</v>
      </c>
      <c r="C189" s="3" t="s">
        <v>870</v>
      </c>
      <c r="D189" s="3" t="s">
        <v>871</v>
      </c>
      <c r="E189" s="3" t="s">
        <v>872</v>
      </c>
      <c r="F189" s="3" t="s">
        <v>68</v>
      </c>
      <c r="G189" s="3" t="s">
        <v>81</v>
      </c>
      <c r="H189" s="3" t="s">
        <v>27</v>
      </c>
      <c r="I189" s="3">
        <v>6</v>
      </c>
      <c r="J189" s="3">
        <v>5433</v>
      </c>
      <c r="K189" s="3">
        <v>32598</v>
      </c>
      <c r="L189" s="3">
        <v>17112</v>
      </c>
      <c r="M189" s="3">
        <v>15486</v>
      </c>
      <c r="N189" s="3">
        <v>1</v>
      </c>
      <c r="O189" s="3" t="s">
        <v>845</v>
      </c>
      <c r="P189" s="3" t="s">
        <v>855</v>
      </c>
      <c r="Q189" s="3">
        <v>3</v>
      </c>
      <c r="R189" s="3" t="s">
        <v>861</v>
      </c>
    </row>
    <row r="190" spans="1:18" x14ac:dyDescent="0.3">
      <c r="A190" s="3" t="s">
        <v>1064</v>
      </c>
      <c r="B190" s="3" t="s">
        <v>857</v>
      </c>
      <c r="C190" s="3" t="s">
        <v>863</v>
      </c>
      <c r="D190" s="3" t="s">
        <v>864</v>
      </c>
      <c r="E190" s="3" t="s">
        <v>844</v>
      </c>
      <c r="F190" s="3" t="s">
        <v>55</v>
      </c>
      <c r="G190" s="3" t="s">
        <v>26</v>
      </c>
      <c r="H190" s="3" t="s">
        <v>27</v>
      </c>
      <c r="I190" s="3">
        <v>9</v>
      </c>
      <c r="J190" s="3">
        <v>12468</v>
      </c>
      <c r="K190" s="3">
        <v>112212</v>
      </c>
      <c r="L190" s="3">
        <v>70551</v>
      </c>
      <c r="M190" s="3">
        <v>41661</v>
      </c>
      <c r="N190" s="3">
        <v>8</v>
      </c>
      <c r="O190" s="3" t="s">
        <v>854</v>
      </c>
      <c r="P190" s="3" t="s">
        <v>866</v>
      </c>
      <c r="Q190" s="3">
        <v>3.3</v>
      </c>
      <c r="R190" s="3" t="s">
        <v>861</v>
      </c>
    </row>
    <row r="191" spans="1:18" x14ac:dyDescent="0.3">
      <c r="A191" s="3" t="s">
        <v>1065</v>
      </c>
      <c r="B191" s="3" t="s">
        <v>849</v>
      </c>
      <c r="C191" s="3" t="s">
        <v>889</v>
      </c>
      <c r="D191" s="3" t="s">
        <v>890</v>
      </c>
      <c r="E191" s="3" t="s">
        <v>872</v>
      </c>
      <c r="F191" s="3" t="s">
        <v>143</v>
      </c>
      <c r="G191" s="3" t="s">
        <v>59</v>
      </c>
      <c r="H191" s="3" t="s">
        <v>38</v>
      </c>
      <c r="I191" s="3">
        <v>15</v>
      </c>
      <c r="J191" s="3">
        <v>9643</v>
      </c>
      <c r="K191" s="3">
        <v>144645</v>
      </c>
      <c r="L191" s="3">
        <v>111990</v>
      </c>
      <c r="M191" s="3">
        <v>32655</v>
      </c>
      <c r="N191" s="3">
        <v>2</v>
      </c>
      <c r="O191" s="3" t="s">
        <v>875</v>
      </c>
      <c r="P191" s="3" t="s">
        <v>858</v>
      </c>
      <c r="Q191" s="3">
        <v>3</v>
      </c>
      <c r="R191" s="3" t="s">
        <v>847</v>
      </c>
    </row>
    <row r="192" spans="1:18" x14ac:dyDescent="0.3">
      <c r="A192" s="3" t="s">
        <v>1066</v>
      </c>
      <c r="B192" s="3" t="s">
        <v>897</v>
      </c>
      <c r="C192" s="3" t="s">
        <v>870</v>
      </c>
      <c r="D192" s="3" t="s">
        <v>871</v>
      </c>
      <c r="E192" s="3" t="s">
        <v>872</v>
      </c>
      <c r="F192" s="3" t="s">
        <v>55</v>
      </c>
      <c r="G192" s="3" t="s">
        <v>81</v>
      </c>
      <c r="H192" s="3" t="s">
        <v>38</v>
      </c>
      <c r="I192" s="3">
        <v>2</v>
      </c>
      <c r="J192" s="3">
        <v>4712</v>
      </c>
      <c r="K192" s="3">
        <v>9424</v>
      </c>
      <c r="L192" s="3">
        <v>7664</v>
      </c>
      <c r="M192" s="3">
        <v>1760</v>
      </c>
      <c r="N192" s="3">
        <v>1</v>
      </c>
      <c r="O192" s="3" t="s">
        <v>854</v>
      </c>
      <c r="P192" s="3" t="s">
        <v>846</v>
      </c>
      <c r="Q192" s="3">
        <v>4.3</v>
      </c>
      <c r="R192" s="3" t="s">
        <v>847</v>
      </c>
    </row>
    <row r="193" spans="1:18" x14ac:dyDescent="0.3">
      <c r="A193" s="3" t="s">
        <v>1067</v>
      </c>
      <c r="B193" s="3" t="s">
        <v>841</v>
      </c>
      <c r="C193" s="3" t="s">
        <v>863</v>
      </c>
      <c r="D193" s="3" t="s">
        <v>864</v>
      </c>
      <c r="E193" s="3" t="s">
        <v>844</v>
      </c>
      <c r="F193" s="3" t="s">
        <v>136</v>
      </c>
      <c r="G193" s="3" t="s">
        <v>39</v>
      </c>
      <c r="H193" s="3" t="s">
        <v>38</v>
      </c>
      <c r="I193" s="3">
        <v>1</v>
      </c>
      <c r="J193" s="3">
        <v>11831</v>
      </c>
      <c r="K193" s="3">
        <v>11831</v>
      </c>
      <c r="L193" s="3">
        <v>7868</v>
      </c>
      <c r="M193" s="3">
        <v>3963</v>
      </c>
      <c r="N193" s="3">
        <v>13</v>
      </c>
      <c r="O193" s="3" t="s">
        <v>865</v>
      </c>
      <c r="P193" s="3" t="s">
        <v>855</v>
      </c>
      <c r="Q193" s="3">
        <v>3.4</v>
      </c>
      <c r="R193" s="3" t="s">
        <v>847</v>
      </c>
    </row>
    <row r="194" spans="1:18" x14ac:dyDescent="0.3">
      <c r="A194" s="3" t="s">
        <v>1068</v>
      </c>
      <c r="B194" s="3" t="s">
        <v>886</v>
      </c>
      <c r="C194" s="3" t="s">
        <v>863</v>
      </c>
      <c r="D194" s="3" t="s">
        <v>864</v>
      </c>
      <c r="E194" s="3" t="s">
        <v>844</v>
      </c>
      <c r="F194" s="3" t="s">
        <v>136</v>
      </c>
      <c r="G194" s="3" t="s">
        <v>26</v>
      </c>
      <c r="H194" s="3" t="s">
        <v>38</v>
      </c>
      <c r="I194" s="3">
        <v>1</v>
      </c>
      <c r="J194" s="3">
        <v>11577</v>
      </c>
      <c r="K194" s="3">
        <v>11577</v>
      </c>
      <c r="L194" s="3">
        <v>8985</v>
      </c>
      <c r="M194" s="3">
        <v>2592</v>
      </c>
      <c r="N194" s="3">
        <v>18</v>
      </c>
      <c r="O194" s="3" t="s">
        <v>865</v>
      </c>
      <c r="P194" s="3" t="s">
        <v>858</v>
      </c>
      <c r="Q194" s="3">
        <v>4.5999999999999996</v>
      </c>
      <c r="R194" s="3" t="s">
        <v>847</v>
      </c>
    </row>
    <row r="195" spans="1:18" x14ac:dyDescent="0.3">
      <c r="A195" s="3" t="s">
        <v>1069</v>
      </c>
      <c r="B195" s="3" t="s">
        <v>888</v>
      </c>
      <c r="C195" s="3" t="s">
        <v>863</v>
      </c>
      <c r="D195" s="3" t="s">
        <v>864</v>
      </c>
      <c r="E195" s="3" t="s">
        <v>844</v>
      </c>
      <c r="F195" s="3" t="s">
        <v>68</v>
      </c>
      <c r="G195" s="3" t="s">
        <v>39</v>
      </c>
      <c r="H195" s="3" t="s">
        <v>27</v>
      </c>
      <c r="I195" s="3">
        <v>2</v>
      </c>
      <c r="J195" s="3">
        <v>11402</v>
      </c>
      <c r="K195" s="3">
        <v>22804</v>
      </c>
      <c r="L195" s="3">
        <v>17436</v>
      </c>
      <c r="M195" s="3">
        <v>5368</v>
      </c>
      <c r="N195" s="3">
        <v>17</v>
      </c>
      <c r="O195" s="3" t="s">
        <v>865</v>
      </c>
      <c r="P195" s="3" t="s">
        <v>858</v>
      </c>
      <c r="Q195" s="3">
        <v>3.2</v>
      </c>
      <c r="R195" s="3" t="s">
        <v>861</v>
      </c>
    </row>
    <row r="196" spans="1:18" x14ac:dyDescent="0.3">
      <c r="A196" s="3" t="s">
        <v>1070</v>
      </c>
      <c r="B196" s="3" t="s">
        <v>841</v>
      </c>
      <c r="C196" s="3" t="s">
        <v>863</v>
      </c>
      <c r="D196" s="3" t="s">
        <v>864</v>
      </c>
      <c r="E196" s="3" t="s">
        <v>844</v>
      </c>
      <c r="F196" s="3" t="s">
        <v>125</v>
      </c>
      <c r="G196" s="3" t="s">
        <v>26</v>
      </c>
      <c r="H196" s="3" t="s">
        <v>27</v>
      </c>
      <c r="I196" s="3">
        <v>11</v>
      </c>
      <c r="J196" s="3">
        <v>12329</v>
      </c>
      <c r="K196" s="3">
        <v>135619</v>
      </c>
      <c r="L196" s="3">
        <v>97185</v>
      </c>
      <c r="M196" s="3">
        <v>38434</v>
      </c>
      <c r="N196" s="3">
        <v>17</v>
      </c>
      <c r="O196" s="3" t="s">
        <v>845</v>
      </c>
      <c r="P196" s="3" t="s">
        <v>866</v>
      </c>
      <c r="Q196" s="3">
        <v>3.5</v>
      </c>
      <c r="R196" s="3" t="s">
        <v>847</v>
      </c>
    </row>
    <row r="197" spans="1:18" x14ac:dyDescent="0.3">
      <c r="A197" s="3" t="s">
        <v>1071</v>
      </c>
      <c r="B197" s="3" t="s">
        <v>868</v>
      </c>
      <c r="C197" s="3" t="s">
        <v>877</v>
      </c>
      <c r="D197" s="3" t="s">
        <v>878</v>
      </c>
      <c r="E197" s="3" t="s">
        <v>844</v>
      </c>
      <c r="F197" s="3" t="s">
        <v>136</v>
      </c>
      <c r="G197" s="3" t="s">
        <v>59</v>
      </c>
      <c r="H197" s="3" t="s">
        <v>38</v>
      </c>
      <c r="I197" s="3">
        <v>8</v>
      </c>
      <c r="J197" s="3">
        <v>18154</v>
      </c>
      <c r="K197" s="3">
        <v>145232</v>
      </c>
      <c r="L197" s="3">
        <v>102064</v>
      </c>
      <c r="M197" s="3">
        <v>43168</v>
      </c>
      <c r="N197" s="3">
        <v>8</v>
      </c>
      <c r="O197" s="3" t="s">
        <v>854</v>
      </c>
      <c r="P197" s="3" t="s">
        <v>855</v>
      </c>
      <c r="Q197" s="3">
        <v>4.0999999999999996</v>
      </c>
      <c r="R197" s="3" t="s">
        <v>847</v>
      </c>
    </row>
    <row r="198" spans="1:18" x14ac:dyDescent="0.3">
      <c r="A198" s="3" t="s">
        <v>1072</v>
      </c>
      <c r="B198" s="3" t="s">
        <v>849</v>
      </c>
      <c r="C198" s="3" t="s">
        <v>842</v>
      </c>
      <c r="D198" s="3" t="s">
        <v>843</v>
      </c>
      <c r="E198" s="3" t="s">
        <v>844</v>
      </c>
      <c r="F198" s="3" t="s">
        <v>75</v>
      </c>
      <c r="G198" s="3" t="s">
        <v>26</v>
      </c>
      <c r="H198" s="3" t="s">
        <v>38</v>
      </c>
      <c r="I198" s="3">
        <v>15</v>
      </c>
      <c r="J198" s="3">
        <v>25775</v>
      </c>
      <c r="K198" s="3">
        <v>386625</v>
      </c>
      <c r="L198" s="3">
        <v>266490</v>
      </c>
      <c r="M198" s="3">
        <v>120135</v>
      </c>
      <c r="N198" s="3">
        <v>14</v>
      </c>
      <c r="O198" s="3" t="s">
        <v>875</v>
      </c>
      <c r="P198" s="3" t="s">
        <v>866</v>
      </c>
      <c r="Q198" s="3">
        <v>4.7</v>
      </c>
      <c r="R198" s="3" t="s">
        <v>847</v>
      </c>
    </row>
    <row r="199" spans="1:18" x14ac:dyDescent="0.3">
      <c r="A199" s="3" t="s">
        <v>1073</v>
      </c>
      <c r="B199" s="3" t="s">
        <v>853</v>
      </c>
      <c r="C199" s="3" t="s">
        <v>870</v>
      </c>
      <c r="D199" s="3" t="s">
        <v>871</v>
      </c>
      <c r="E199" s="3" t="s">
        <v>872</v>
      </c>
      <c r="F199" s="3" t="s">
        <v>136</v>
      </c>
      <c r="G199" s="3" t="s">
        <v>26</v>
      </c>
      <c r="H199" s="3" t="s">
        <v>49</v>
      </c>
      <c r="I199" s="3">
        <v>10</v>
      </c>
      <c r="J199" s="3">
        <v>4741</v>
      </c>
      <c r="K199" s="3">
        <v>47410</v>
      </c>
      <c r="L199" s="3">
        <v>31300</v>
      </c>
      <c r="M199" s="3">
        <v>16110</v>
      </c>
      <c r="N199" s="3">
        <v>7</v>
      </c>
      <c r="O199" s="3" t="s">
        <v>845</v>
      </c>
      <c r="P199" s="3" t="s">
        <v>866</v>
      </c>
      <c r="Q199" s="3">
        <v>3.4</v>
      </c>
      <c r="R199" s="3" t="s">
        <v>847</v>
      </c>
    </row>
    <row r="200" spans="1:18" x14ac:dyDescent="0.3">
      <c r="A200" s="3" t="s">
        <v>1074</v>
      </c>
      <c r="B200" s="3" t="s">
        <v>888</v>
      </c>
      <c r="C200" s="3" t="s">
        <v>877</v>
      </c>
      <c r="D200" s="3" t="s">
        <v>878</v>
      </c>
      <c r="E200" s="3" t="s">
        <v>844</v>
      </c>
      <c r="F200" s="3" t="s">
        <v>143</v>
      </c>
      <c r="G200" s="3" t="s">
        <v>26</v>
      </c>
      <c r="H200" s="3" t="s">
        <v>98</v>
      </c>
      <c r="I200" s="3">
        <v>7</v>
      </c>
      <c r="J200" s="3">
        <v>19499</v>
      </c>
      <c r="K200" s="3">
        <v>136493</v>
      </c>
      <c r="L200" s="3">
        <v>95746</v>
      </c>
      <c r="M200" s="3">
        <v>40747</v>
      </c>
      <c r="N200" s="3">
        <v>19</v>
      </c>
      <c r="O200" s="3" t="s">
        <v>865</v>
      </c>
      <c r="P200" s="3" t="s">
        <v>855</v>
      </c>
      <c r="Q200" s="3">
        <v>4.4000000000000004</v>
      </c>
      <c r="R200" s="3" t="s">
        <v>861</v>
      </c>
    </row>
    <row r="201" spans="1:18" x14ac:dyDescent="0.3">
      <c r="A201" s="3" t="s">
        <v>1075</v>
      </c>
      <c r="B201" s="3" t="s">
        <v>886</v>
      </c>
      <c r="C201" s="3" t="s">
        <v>863</v>
      </c>
      <c r="D201" s="3" t="s">
        <v>864</v>
      </c>
      <c r="E201" s="3" t="s">
        <v>844</v>
      </c>
      <c r="F201" s="3" t="s">
        <v>68</v>
      </c>
      <c r="G201" s="3" t="s">
        <v>39</v>
      </c>
      <c r="H201" s="3" t="s">
        <v>98</v>
      </c>
      <c r="I201" s="3">
        <v>9</v>
      </c>
      <c r="J201" s="3">
        <v>11492</v>
      </c>
      <c r="K201" s="3">
        <v>103428</v>
      </c>
      <c r="L201" s="3">
        <v>74232</v>
      </c>
      <c r="M201" s="3">
        <v>29196</v>
      </c>
      <c r="N201" s="3">
        <v>3</v>
      </c>
      <c r="O201" s="3" t="s">
        <v>865</v>
      </c>
      <c r="P201" s="3" t="s">
        <v>858</v>
      </c>
      <c r="Q201" s="3">
        <v>3.2</v>
      </c>
      <c r="R201" s="3" t="s">
        <v>861</v>
      </c>
    </row>
    <row r="202" spans="1:18" x14ac:dyDescent="0.3">
      <c r="A202" s="3" t="s">
        <v>1076</v>
      </c>
      <c r="B202" s="3" t="s">
        <v>888</v>
      </c>
      <c r="C202" s="3" t="s">
        <v>870</v>
      </c>
      <c r="D202" s="3" t="s">
        <v>871</v>
      </c>
      <c r="E202" s="3" t="s">
        <v>872</v>
      </c>
      <c r="F202" s="3" t="s">
        <v>79</v>
      </c>
      <c r="G202" s="3" t="s">
        <v>81</v>
      </c>
      <c r="H202" s="3" t="s">
        <v>25</v>
      </c>
      <c r="I202" s="3">
        <v>3</v>
      </c>
      <c r="J202" s="3">
        <v>5013</v>
      </c>
      <c r="K202" s="3">
        <v>15039</v>
      </c>
      <c r="L202" s="3">
        <v>11253</v>
      </c>
      <c r="M202" s="3">
        <v>3786</v>
      </c>
      <c r="N202" s="3">
        <v>14</v>
      </c>
      <c r="O202" s="3" t="s">
        <v>854</v>
      </c>
      <c r="P202" s="3" t="s">
        <v>866</v>
      </c>
      <c r="Q202" s="3">
        <v>4.8</v>
      </c>
      <c r="R202" s="3" t="s">
        <v>861</v>
      </c>
    </row>
    <row r="203" spans="1:18" x14ac:dyDescent="0.3">
      <c r="A203" s="3" t="s">
        <v>1077</v>
      </c>
      <c r="B203" s="3" t="s">
        <v>857</v>
      </c>
      <c r="C203" s="3" t="s">
        <v>889</v>
      </c>
      <c r="D203" s="3" t="s">
        <v>890</v>
      </c>
      <c r="E203" s="3" t="s">
        <v>872</v>
      </c>
      <c r="F203" s="3" t="s">
        <v>136</v>
      </c>
      <c r="G203" s="3" t="s">
        <v>81</v>
      </c>
      <c r="H203" s="3" t="s">
        <v>28</v>
      </c>
      <c r="I203" s="3">
        <v>1</v>
      </c>
      <c r="J203" s="3">
        <v>9061</v>
      </c>
      <c r="K203" s="3">
        <v>9061</v>
      </c>
      <c r="L203" s="3">
        <v>7472</v>
      </c>
      <c r="M203" s="3">
        <v>1589</v>
      </c>
      <c r="N203" s="3">
        <v>16</v>
      </c>
      <c r="O203" s="3" t="s">
        <v>875</v>
      </c>
      <c r="P203" s="3" t="s">
        <v>846</v>
      </c>
      <c r="Q203" s="3">
        <v>4.8</v>
      </c>
      <c r="R203" s="3" t="s">
        <v>847</v>
      </c>
    </row>
    <row r="204" spans="1:18" x14ac:dyDescent="0.3">
      <c r="A204" s="3" t="s">
        <v>1078</v>
      </c>
      <c r="B204" s="3" t="s">
        <v>857</v>
      </c>
      <c r="C204" s="3" t="s">
        <v>889</v>
      </c>
      <c r="D204" s="3" t="s">
        <v>890</v>
      </c>
      <c r="E204" s="3" t="s">
        <v>872</v>
      </c>
      <c r="F204" s="3" t="s">
        <v>79</v>
      </c>
      <c r="G204" s="3" t="s">
        <v>26</v>
      </c>
      <c r="H204" s="3" t="s">
        <v>98</v>
      </c>
      <c r="I204" s="3">
        <v>3</v>
      </c>
      <c r="J204" s="3">
        <v>9383</v>
      </c>
      <c r="K204" s="3">
        <v>28149</v>
      </c>
      <c r="L204" s="3">
        <v>21738</v>
      </c>
      <c r="M204" s="3">
        <v>6411</v>
      </c>
      <c r="N204" s="3">
        <v>9</v>
      </c>
      <c r="O204" s="3" t="s">
        <v>854</v>
      </c>
      <c r="P204" s="3" t="s">
        <v>855</v>
      </c>
      <c r="Q204" s="3">
        <v>4.5</v>
      </c>
      <c r="R204" s="3" t="s">
        <v>861</v>
      </c>
    </row>
    <row r="205" spans="1:18" x14ac:dyDescent="0.3">
      <c r="A205" s="3" t="s">
        <v>1079</v>
      </c>
      <c r="B205" s="3" t="s">
        <v>884</v>
      </c>
      <c r="C205" s="3" t="s">
        <v>863</v>
      </c>
      <c r="D205" s="3" t="s">
        <v>864</v>
      </c>
      <c r="E205" s="3" t="s">
        <v>844</v>
      </c>
      <c r="F205" s="3" t="s">
        <v>79</v>
      </c>
      <c r="G205" s="3" t="s">
        <v>81</v>
      </c>
      <c r="H205" s="3" t="s">
        <v>38</v>
      </c>
      <c r="I205" s="3">
        <v>6</v>
      </c>
      <c r="J205" s="3">
        <v>12887</v>
      </c>
      <c r="K205" s="3">
        <v>77322</v>
      </c>
      <c r="L205" s="3">
        <v>53934</v>
      </c>
      <c r="M205" s="3">
        <v>23388</v>
      </c>
      <c r="N205" s="3">
        <v>14</v>
      </c>
      <c r="O205" s="3" t="s">
        <v>875</v>
      </c>
      <c r="P205" s="3" t="s">
        <v>846</v>
      </c>
      <c r="Q205" s="3">
        <v>3.4</v>
      </c>
      <c r="R205" s="3" t="s">
        <v>861</v>
      </c>
    </row>
    <row r="206" spans="1:18" x14ac:dyDescent="0.3">
      <c r="A206" s="3" t="s">
        <v>1080</v>
      </c>
      <c r="B206" s="3" t="s">
        <v>857</v>
      </c>
      <c r="C206" s="3" t="s">
        <v>850</v>
      </c>
      <c r="D206" s="3" t="s">
        <v>851</v>
      </c>
      <c r="E206" s="3" t="s">
        <v>844</v>
      </c>
      <c r="F206" s="3" t="s">
        <v>79</v>
      </c>
      <c r="G206" s="3" t="s">
        <v>81</v>
      </c>
      <c r="H206" s="3" t="s">
        <v>27</v>
      </c>
      <c r="I206" s="3">
        <v>1</v>
      </c>
      <c r="J206" s="3">
        <v>55070</v>
      </c>
      <c r="K206" s="3">
        <v>55070</v>
      </c>
      <c r="L206" s="3">
        <v>42425</v>
      </c>
      <c r="M206" s="3">
        <v>12645</v>
      </c>
      <c r="N206" s="3">
        <v>15</v>
      </c>
      <c r="O206" s="3" t="s">
        <v>865</v>
      </c>
      <c r="P206" s="3" t="s">
        <v>866</v>
      </c>
      <c r="Q206" s="3">
        <v>3.9</v>
      </c>
      <c r="R206" s="3" t="s">
        <v>847</v>
      </c>
    </row>
    <row r="207" spans="1:18" x14ac:dyDescent="0.3">
      <c r="A207" s="3" t="s">
        <v>1081</v>
      </c>
      <c r="B207" s="3" t="s">
        <v>868</v>
      </c>
      <c r="C207" s="3" t="s">
        <v>870</v>
      </c>
      <c r="D207" s="3" t="s">
        <v>871</v>
      </c>
      <c r="E207" s="3" t="s">
        <v>872</v>
      </c>
      <c r="F207" s="3" t="s">
        <v>55</v>
      </c>
      <c r="G207" s="3" t="s">
        <v>81</v>
      </c>
      <c r="H207" s="3" t="s">
        <v>25</v>
      </c>
      <c r="I207" s="3">
        <v>13</v>
      </c>
      <c r="J207" s="3">
        <v>5428</v>
      </c>
      <c r="K207" s="3">
        <v>70564</v>
      </c>
      <c r="L207" s="3">
        <v>39143</v>
      </c>
      <c r="M207" s="3">
        <v>31421</v>
      </c>
      <c r="N207" s="3">
        <v>14</v>
      </c>
      <c r="O207" s="3" t="s">
        <v>845</v>
      </c>
      <c r="P207" s="3" t="s">
        <v>858</v>
      </c>
      <c r="Q207" s="3">
        <v>4.2</v>
      </c>
      <c r="R207" s="3" t="s">
        <v>847</v>
      </c>
    </row>
    <row r="208" spans="1:18" x14ac:dyDescent="0.3">
      <c r="A208" s="3" t="s">
        <v>1082</v>
      </c>
      <c r="B208" s="3" t="s">
        <v>874</v>
      </c>
      <c r="C208" s="3" t="s">
        <v>877</v>
      </c>
      <c r="D208" s="3" t="s">
        <v>878</v>
      </c>
      <c r="E208" s="3" t="s">
        <v>844</v>
      </c>
      <c r="F208" s="3" t="s">
        <v>47</v>
      </c>
      <c r="G208" s="3" t="s">
        <v>26</v>
      </c>
      <c r="H208" s="3" t="s">
        <v>49</v>
      </c>
      <c r="I208" s="3">
        <v>14</v>
      </c>
      <c r="J208" s="3">
        <v>18401</v>
      </c>
      <c r="K208" s="3">
        <v>257614</v>
      </c>
      <c r="L208" s="3">
        <v>177114</v>
      </c>
      <c r="M208" s="3">
        <v>80500</v>
      </c>
      <c r="N208" s="3">
        <v>11</v>
      </c>
      <c r="O208" s="3" t="s">
        <v>845</v>
      </c>
      <c r="P208" s="3" t="s">
        <v>846</v>
      </c>
      <c r="Q208" s="3">
        <v>4.5</v>
      </c>
      <c r="R208" s="3" t="s">
        <v>861</v>
      </c>
    </row>
    <row r="209" spans="1:18" x14ac:dyDescent="0.3">
      <c r="A209" s="3" t="s">
        <v>1083</v>
      </c>
      <c r="B209" s="3" t="s">
        <v>886</v>
      </c>
      <c r="C209" s="3" t="s">
        <v>870</v>
      </c>
      <c r="D209" s="3" t="s">
        <v>871</v>
      </c>
      <c r="E209" s="3" t="s">
        <v>872</v>
      </c>
      <c r="F209" s="3" t="s">
        <v>143</v>
      </c>
      <c r="G209" s="3" t="s">
        <v>26</v>
      </c>
      <c r="H209" s="3" t="s">
        <v>98</v>
      </c>
      <c r="I209" s="3">
        <v>8</v>
      </c>
      <c r="J209" s="3">
        <v>4064</v>
      </c>
      <c r="K209" s="3">
        <v>32512</v>
      </c>
      <c r="L209" s="3">
        <v>27832</v>
      </c>
      <c r="M209" s="3">
        <v>4680</v>
      </c>
      <c r="N209" s="3">
        <v>9</v>
      </c>
      <c r="O209" s="3" t="s">
        <v>875</v>
      </c>
      <c r="P209" s="3" t="s">
        <v>858</v>
      </c>
      <c r="Q209" s="3">
        <v>3.8</v>
      </c>
      <c r="R209" s="3" t="s">
        <v>847</v>
      </c>
    </row>
    <row r="210" spans="1:18" x14ac:dyDescent="0.3">
      <c r="A210" s="3" t="s">
        <v>1084</v>
      </c>
      <c r="B210" s="3" t="s">
        <v>841</v>
      </c>
      <c r="C210" s="3" t="s">
        <v>889</v>
      </c>
      <c r="D210" s="3" t="s">
        <v>890</v>
      </c>
      <c r="E210" s="3" t="s">
        <v>872</v>
      </c>
      <c r="F210" s="3" t="s">
        <v>75</v>
      </c>
      <c r="G210" s="3" t="s">
        <v>59</v>
      </c>
      <c r="H210" s="3" t="s">
        <v>38</v>
      </c>
      <c r="I210" s="3">
        <v>5</v>
      </c>
      <c r="J210" s="3">
        <v>9400</v>
      </c>
      <c r="K210" s="3">
        <v>47000</v>
      </c>
      <c r="L210" s="3">
        <v>33820</v>
      </c>
      <c r="M210" s="3">
        <v>13180</v>
      </c>
      <c r="N210" s="3">
        <v>12</v>
      </c>
      <c r="O210" s="3" t="s">
        <v>865</v>
      </c>
      <c r="P210" s="3" t="s">
        <v>866</v>
      </c>
      <c r="Q210" s="3">
        <v>4.5</v>
      </c>
      <c r="R210" s="3" t="s">
        <v>847</v>
      </c>
    </row>
    <row r="211" spans="1:18" x14ac:dyDescent="0.3">
      <c r="A211" s="3" t="s">
        <v>1085</v>
      </c>
      <c r="B211" s="3" t="s">
        <v>886</v>
      </c>
      <c r="C211" s="3" t="s">
        <v>863</v>
      </c>
      <c r="D211" s="3" t="s">
        <v>864</v>
      </c>
      <c r="E211" s="3" t="s">
        <v>844</v>
      </c>
      <c r="F211" s="3" t="s">
        <v>79</v>
      </c>
      <c r="G211" s="3" t="s">
        <v>26</v>
      </c>
      <c r="H211" s="3" t="s">
        <v>98</v>
      </c>
      <c r="I211" s="3">
        <v>12</v>
      </c>
      <c r="J211" s="3">
        <v>13217</v>
      </c>
      <c r="K211" s="3">
        <v>158604</v>
      </c>
      <c r="L211" s="3">
        <v>95508</v>
      </c>
      <c r="M211" s="3">
        <v>63096</v>
      </c>
      <c r="N211" s="3">
        <v>10</v>
      </c>
      <c r="O211" s="3" t="s">
        <v>845</v>
      </c>
      <c r="P211" s="3" t="s">
        <v>846</v>
      </c>
      <c r="Q211" s="3">
        <v>4.0999999999999996</v>
      </c>
      <c r="R211" s="3" t="s">
        <v>861</v>
      </c>
    </row>
    <row r="212" spans="1:18" x14ac:dyDescent="0.3">
      <c r="A212" s="3" t="s">
        <v>1086</v>
      </c>
      <c r="B212" s="3" t="s">
        <v>942</v>
      </c>
      <c r="C212" s="3" t="s">
        <v>863</v>
      </c>
      <c r="D212" s="3" t="s">
        <v>864</v>
      </c>
      <c r="E212" s="3" t="s">
        <v>844</v>
      </c>
      <c r="F212" s="3" t="s">
        <v>47</v>
      </c>
      <c r="G212" s="3" t="s">
        <v>81</v>
      </c>
      <c r="H212" s="3" t="s">
        <v>25</v>
      </c>
      <c r="I212" s="3">
        <v>3</v>
      </c>
      <c r="J212" s="3">
        <v>11787</v>
      </c>
      <c r="K212" s="3">
        <v>35361</v>
      </c>
      <c r="L212" s="3">
        <v>27498</v>
      </c>
      <c r="M212" s="3">
        <v>7863</v>
      </c>
      <c r="N212" s="3">
        <v>11</v>
      </c>
      <c r="O212" s="3" t="s">
        <v>854</v>
      </c>
      <c r="P212" s="3" t="s">
        <v>858</v>
      </c>
      <c r="Q212" s="3">
        <v>4.7</v>
      </c>
      <c r="R212" s="3" t="s">
        <v>861</v>
      </c>
    </row>
    <row r="213" spans="1:18" x14ac:dyDescent="0.3">
      <c r="A213" s="3" t="s">
        <v>1087</v>
      </c>
      <c r="B213" s="3" t="s">
        <v>849</v>
      </c>
      <c r="C213" s="3" t="s">
        <v>850</v>
      </c>
      <c r="D213" s="3" t="s">
        <v>851</v>
      </c>
      <c r="E213" s="3" t="s">
        <v>844</v>
      </c>
      <c r="F213" s="3" t="s">
        <v>75</v>
      </c>
      <c r="G213" s="3" t="s">
        <v>39</v>
      </c>
      <c r="H213" s="3" t="s">
        <v>27</v>
      </c>
      <c r="I213" s="3">
        <v>14</v>
      </c>
      <c r="J213" s="3">
        <v>55425</v>
      </c>
      <c r="K213" s="3">
        <v>775950</v>
      </c>
      <c r="L213" s="3">
        <v>593376</v>
      </c>
      <c r="M213" s="3">
        <v>182574</v>
      </c>
      <c r="N213" s="3">
        <v>5</v>
      </c>
      <c r="O213" s="3" t="s">
        <v>875</v>
      </c>
      <c r="P213" s="3" t="s">
        <v>866</v>
      </c>
      <c r="Q213" s="3">
        <v>3.8</v>
      </c>
      <c r="R213" s="3" t="s">
        <v>847</v>
      </c>
    </row>
    <row r="214" spans="1:18" x14ac:dyDescent="0.3">
      <c r="A214" s="3" t="s">
        <v>1088</v>
      </c>
      <c r="B214" s="3" t="s">
        <v>849</v>
      </c>
      <c r="C214" s="3" t="s">
        <v>842</v>
      </c>
      <c r="D214" s="3" t="s">
        <v>843</v>
      </c>
      <c r="E214" s="3" t="s">
        <v>844</v>
      </c>
      <c r="F214" s="3" t="s">
        <v>136</v>
      </c>
      <c r="G214" s="3" t="s">
        <v>39</v>
      </c>
      <c r="H214" s="3" t="s">
        <v>25</v>
      </c>
      <c r="I214" s="3">
        <v>15</v>
      </c>
      <c r="J214" s="3">
        <v>26185</v>
      </c>
      <c r="K214" s="3">
        <v>392775</v>
      </c>
      <c r="L214" s="3">
        <v>260145</v>
      </c>
      <c r="M214" s="3">
        <v>132630</v>
      </c>
      <c r="N214" s="3">
        <v>20</v>
      </c>
      <c r="O214" s="3" t="s">
        <v>854</v>
      </c>
      <c r="P214" s="3" t="s">
        <v>858</v>
      </c>
      <c r="Q214" s="3">
        <v>3.8</v>
      </c>
      <c r="R214" s="3" t="s">
        <v>861</v>
      </c>
    </row>
    <row r="215" spans="1:18" x14ac:dyDescent="0.3">
      <c r="A215" s="3" t="s">
        <v>1089</v>
      </c>
      <c r="B215" s="3" t="s">
        <v>942</v>
      </c>
      <c r="C215" s="3" t="s">
        <v>863</v>
      </c>
      <c r="D215" s="3" t="s">
        <v>864</v>
      </c>
      <c r="E215" s="3" t="s">
        <v>844</v>
      </c>
      <c r="F215" s="3" t="s">
        <v>125</v>
      </c>
      <c r="G215" s="3" t="s">
        <v>39</v>
      </c>
      <c r="H215" s="3" t="s">
        <v>98</v>
      </c>
      <c r="I215" s="3">
        <v>4</v>
      </c>
      <c r="J215" s="3">
        <v>12271</v>
      </c>
      <c r="K215" s="3">
        <v>49084</v>
      </c>
      <c r="L215" s="3">
        <v>34112</v>
      </c>
      <c r="M215" s="3">
        <v>14972</v>
      </c>
      <c r="N215" s="3">
        <v>16</v>
      </c>
      <c r="O215" s="3" t="s">
        <v>865</v>
      </c>
      <c r="P215" s="3" t="s">
        <v>855</v>
      </c>
      <c r="Q215" s="3">
        <v>5</v>
      </c>
      <c r="R215" s="3" t="s">
        <v>861</v>
      </c>
    </row>
    <row r="216" spans="1:18" x14ac:dyDescent="0.3">
      <c r="A216" s="3" t="s">
        <v>1090</v>
      </c>
      <c r="B216" s="3" t="s">
        <v>886</v>
      </c>
      <c r="C216" s="3" t="s">
        <v>870</v>
      </c>
      <c r="D216" s="3" t="s">
        <v>871</v>
      </c>
      <c r="E216" s="3" t="s">
        <v>872</v>
      </c>
      <c r="F216" s="3" t="s">
        <v>79</v>
      </c>
      <c r="G216" s="3" t="s">
        <v>39</v>
      </c>
      <c r="H216" s="3" t="s">
        <v>38</v>
      </c>
      <c r="I216" s="3">
        <v>7</v>
      </c>
      <c r="J216" s="3">
        <v>4088</v>
      </c>
      <c r="K216" s="3">
        <v>28616</v>
      </c>
      <c r="L216" s="3">
        <v>25340</v>
      </c>
      <c r="M216" s="3">
        <v>3276</v>
      </c>
      <c r="N216" s="3">
        <v>11</v>
      </c>
      <c r="O216" s="3" t="s">
        <v>865</v>
      </c>
      <c r="P216" s="3" t="s">
        <v>866</v>
      </c>
      <c r="Q216" s="3">
        <v>4.3</v>
      </c>
      <c r="R216" s="3" t="s">
        <v>847</v>
      </c>
    </row>
    <row r="217" spans="1:18" x14ac:dyDescent="0.3">
      <c r="A217" s="3" t="s">
        <v>1091</v>
      </c>
      <c r="B217" s="3" t="s">
        <v>853</v>
      </c>
      <c r="C217" s="3" t="s">
        <v>863</v>
      </c>
      <c r="D217" s="3" t="s">
        <v>864</v>
      </c>
      <c r="E217" s="3" t="s">
        <v>844</v>
      </c>
      <c r="F217" s="3" t="s">
        <v>125</v>
      </c>
      <c r="G217" s="3" t="s">
        <v>39</v>
      </c>
      <c r="H217" s="3" t="s">
        <v>49</v>
      </c>
      <c r="I217" s="3">
        <v>14</v>
      </c>
      <c r="J217" s="3">
        <v>11310</v>
      </c>
      <c r="K217" s="3">
        <v>158340</v>
      </c>
      <c r="L217" s="3">
        <v>114660</v>
      </c>
      <c r="M217" s="3">
        <v>43680</v>
      </c>
      <c r="N217" s="3">
        <v>1</v>
      </c>
      <c r="O217" s="3" t="s">
        <v>865</v>
      </c>
      <c r="P217" s="3" t="s">
        <v>858</v>
      </c>
      <c r="Q217" s="3">
        <v>3.5</v>
      </c>
      <c r="R217" s="3" t="s">
        <v>847</v>
      </c>
    </row>
    <row r="218" spans="1:18" x14ac:dyDescent="0.3">
      <c r="A218" s="3" t="s">
        <v>1092</v>
      </c>
      <c r="B218" s="3" t="s">
        <v>907</v>
      </c>
      <c r="C218" s="3" t="s">
        <v>877</v>
      </c>
      <c r="D218" s="3" t="s">
        <v>878</v>
      </c>
      <c r="E218" s="3" t="s">
        <v>844</v>
      </c>
      <c r="F218" s="3" t="s">
        <v>125</v>
      </c>
      <c r="G218" s="3" t="s">
        <v>39</v>
      </c>
      <c r="H218" s="3" t="s">
        <v>25</v>
      </c>
      <c r="I218" s="3">
        <v>11</v>
      </c>
      <c r="J218" s="3">
        <v>19248</v>
      </c>
      <c r="K218" s="3">
        <v>211728</v>
      </c>
      <c r="L218" s="3">
        <v>139183</v>
      </c>
      <c r="M218" s="3">
        <v>72545</v>
      </c>
      <c r="N218" s="3">
        <v>18</v>
      </c>
      <c r="O218" s="3" t="s">
        <v>854</v>
      </c>
      <c r="P218" s="3" t="s">
        <v>846</v>
      </c>
      <c r="Q218" s="3">
        <v>3</v>
      </c>
      <c r="R218" s="3" t="s">
        <v>847</v>
      </c>
    </row>
    <row r="219" spans="1:18" x14ac:dyDescent="0.3">
      <c r="A219" s="3" t="s">
        <v>1093</v>
      </c>
      <c r="B219" s="3" t="s">
        <v>884</v>
      </c>
      <c r="C219" s="3" t="s">
        <v>842</v>
      </c>
      <c r="D219" s="3" t="s">
        <v>843</v>
      </c>
      <c r="E219" s="3" t="s">
        <v>844</v>
      </c>
      <c r="F219" s="3" t="s">
        <v>136</v>
      </c>
      <c r="G219" s="3" t="s">
        <v>81</v>
      </c>
      <c r="H219" s="3" t="s">
        <v>25</v>
      </c>
      <c r="I219" s="3">
        <v>3</v>
      </c>
      <c r="J219" s="3">
        <v>25475</v>
      </c>
      <c r="K219" s="3">
        <v>76425</v>
      </c>
      <c r="L219" s="3">
        <v>54945</v>
      </c>
      <c r="M219" s="3">
        <v>21480</v>
      </c>
      <c r="N219" s="3">
        <v>9</v>
      </c>
      <c r="O219" s="3" t="s">
        <v>845</v>
      </c>
      <c r="P219" s="3" t="s">
        <v>866</v>
      </c>
      <c r="Q219" s="3">
        <v>3.6</v>
      </c>
      <c r="R219" s="3" t="s">
        <v>861</v>
      </c>
    </row>
    <row r="220" spans="1:18" x14ac:dyDescent="0.3">
      <c r="A220" s="3" t="s">
        <v>1094</v>
      </c>
      <c r="B220" s="3" t="s">
        <v>942</v>
      </c>
      <c r="C220" s="3" t="s">
        <v>850</v>
      </c>
      <c r="D220" s="3" t="s">
        <v>851</v>
      </c>
      <c r="E220" s="3" t="s">
        <v>844</v>
      </c>
      <c r="F220" s="3" t="s">
        <v>75</v>
      </c>
      <c r="G220" s="3" t="s">
        <v>26</v>
      </c>
      <c r="H220" s="3" t="s">
        <v>27</v>
      </c>
      <c r="I220" s="3">
        <v>9</v>
      </c>
      <c r="J220" s="3">
        <v>54117</v>
      </c>
      <c r="K220" s="3">
        <v>487053</v>
      </c>
      <c r="L220" s="3">
        <v>380799</v>
      </c>
      <c r="M220" s="3">
        <v>106254</v>
      </c>
      <c r="N220" s="3">
        <v>14</v>
      </c>
      <c r="O220" s="3" t="s">
        <v>845</v>
      </c>
      <c r="P220" s="3" t="s">
        <v>855</v>
      </c>
      <c r="Q220" s="3">
        <v>3.8</v>
      </c>
      <c r="R220" s="3" t="s">
        <v>861</v>
      </c>
    </row>
    <row r="221" spans="1:18" x14ac:dyDescent="0.3">
      <c r="A221" s="3" t="s">
        <v>1095</v>
      </c>
      <c r="B221" s="3" t="s">
        <v>907</v>
      </c>
      <c r="C221" s="3" t="s">
        <v>877</v>
      </c>
      <c r="D221" s="3" t="s">
        <v>878</v>
      </c>
      <c r="E221" s="3" t="s">
        <v>844</v>
      </c>
      <c r="F221" s="3" t="s">
        <v>79</v>
      </c>
      <c r="G221" s="3" t="s">
        <v>26</v>
      </c>
      <c r="H221" s="3" t="s">
        <v>28</v>
      </c>
      <c r="I221" s="3">
        <v>14</v>
      </c>
      <c r="J221" s="3">
        <v>17393</v>
      </c>
      <c r="K221" s="3">
        <v>243502</v>
      </c>
      <c r="L221" s="3">
        <v>179452</v>
      </c>
      <c r="M221" s="3">
        <v>64050</v>
      </c>
      <c r="N221" s="3">
        <v>15</v>
      </c>
      <c r="O221" s="3" t="s">
        <v>854</v>
      </c>
      <c r="P221" s="3" t="s">
        <v>846</v>
      </c>
      <c r="Q221" s="3">
        <v>3.5</v>
      </c>
      <c r="R221" s="3" t="s">
        <v>847</v>
      </c>
    </row>
    <row r="222" spans="1:18" x14ac:dyDescent="0.3">
      <c r="A222" s="3" t="s">
        <v>1096</v>
      </c>
      <c r="B222" s="3" t="s">
        <v>942</v>
      </c>
      <c r="C222" s="3" t="s">
        <v>877</v>
      </c>
      <c r="D222" s="3" t="s">
        <v>878</v>
      </c>
      <c r="E222" s="3" t="s">
        <v>844</v>
      </c>
      <c r="F222" s="3" t="s">
        <v>143</v>
      </c>
      <c r="G222" s="3" t="s">
        <v>26</v>
      </c>
      <c r="H222" s="3" t="s">
        <v>27</v>
      </c>
      <c r="I222" s="3">
        <v>10</v>
      </c>
      <c r="J222" s="3">
        <v>17052</v>
      </c>
      <c r="K222" s="3">
        <v>170520</v>
      </c>
      <c r="L222" s="3">
        <v>130280</v>
      </c>
      <c r="M222" s="3">
        <v>40240</v>
      </c>
      <c r="N222" s="3">
        <v>11</v>
      </c>
      <c r="O222" s="3" t="s">
        <v>865</v>
      </c>
      <c r="P222" s="3" t="s">
        <v>866</v>
      </c>
      <c r="Q222" s="3">
        <v>4.0999999999999996</v>
      </c>
      <c r="R222" s="3" t="s">
        <v>847</v>
      </c>
    </row>
    <row r="223" spans="1:18" x14ac:dyDescent="0.3">
      <c r="A223" s="3" t="s">
        <v>1097</v>
      </c>
      <c r="B223" s="3" t="s">
        <v>853</v>
      </c>
      <c r="C223" s="3" t="s">
        <v>842</v>
      </c>
      <c r="D223" s="3" t="s">
        <v>843</v>
      </c>
      <c r="E223" s="3" t="s">
        <v>844</v>
      </c>
      <c r="F223" s="3" t="s">
        <v>68</v>
      </c>
      <c r="G223" s="3" t="s">
        <v>81</v>
      </c>
      <c r="H223" s="3" t="s">
        <v>98</v>
      </c>
      <c r="I223" s="3">
        <v>3</v>
      </c>
      <c r="J223" s="3">
        <v>26375</v>
      </c>
      <c r="K223" s="3">
        <v>79125</v>
      </c>
      <c r="L223" s="3">
        <v>54405</v>
      </c>
      <c r="M223" s="3">
        <v>24720</v>
      </c>
      <c r="N223" s="3">
        <v>9</v>
      </c>
      <c r="O223" s="3" t="s">
        <v>865</v>
      </c>
      <c r="P223" s="3" t="s">
        <v>858</v>
      </c>
      <c r="Q223" s="3">
        <v>4</v>
      </c>
      <c r="R223" s="3" t="s">
        <v>847</v>
      </c>
    </row>
    <row r="224" spans="1:18" x14ac:dyDescent="0.3">
      <c r="A224" s="3" t="s">
        <v>1098</v>
      </c>
      <c r="B224" s="3" t="s">
        <v>942</v>
      </c>
      <c r="C224" s="3" t="s">
        <v>889</v>
      </c>
      <c r="D224" s="3" t="s">
        <v>890</v>
      </c>
      <c r="E224" s="3" t="s">
        <v>872</v>
      </c>
      <c r="F224" s="3" t="s">
        <v>55</v>
      </c>
      <c r="G224" s="3" t="s">
        <v>26</v>
      </c>
      <c r="H224" s="3" t="s">
        <v>28</v>
      </c>
      <c r="I224" s="3">
        <v>5</v>
      </c>
      <c r="J224" s="3">
        <v>10363</v>
      </c>
      <c r="K224" s="3">
        <v>51815</v>
      </c>
      <c r="L224" s="3">
        <v>37505</v>
      </c>
      <c r="M224" s="3">
        <v>14310</v>
      </c>
      <c r="N224" s="3">
        <v>20</v>
      </c>
      <c r="O224" s="3" t="s">
        <v>865</v>
      </c>
      <c r="P224" s="3" t="s">
        <v>846</v>
      </c>
      <c r="Q224" s="3">
        <v>4.3</v>
      </c>
      <c r="R224" s="3" t="s">
        <v>861</v>
      </c>
    </row>
    <row r="225" spans="1:18" x14ac:dyDescent="0.3">
      <c r="A225" s="3" t="s">
        <v>1099</v>
      </c>
      <c r="B225" s="3" t="s">
        <v>907</v>
      </c>
      <c r="C225" s="3" t="s">
        <v>889</v>
      </c>
      <c r="D225" s="3" t="s">
        <v>890</v>
      </c>
      <c r="E225" s="3" t="s">
        <v>872</v>
      </c>
      <c r="F225" s="3" t="s">
        <v>55</v>
      </c>
      <c r="G225" s="3" t="s">
        <v>59</v>
      </c>
      <c r="H225" s="3" t="s">
        <v>25</v>
      </c>
      <c r="I225" s="3">
        <v>1</v>
      </c>
      <c r="J225" s="3">
        <v>10588</v>
      </c>
      <c r="K225" s="3">
        <v>10588</v>
      </c>
      <c r="L225" s="3">
        <v>6556</v>
      </c>
      <c r="M225" s="3">
        <v>4032</v>
      </c>
      <c r="N225" s="3">
        <v>8</v>
      </c>
      <c r="O225" s="3" t="s">
        <v>865</v>
      </c>
      <c r="P225" s="3" t="s">
        <v>858</v>
      </c>
      <c r="Q225" s="3">
        <v>4</v>
      </c>
      <c r="R225" s="3" t="s">
        <v>847</v>
      </c>
    </row>
    <row r="226" spans="1:18" x14ac:dyDescent="0.3">
      <c r="A226" s="3" t="s">
        <v>1100</v>
      </c>
      <c r="B226" s="3" t="s">
        <v>942</v>
      </c>
      <c r="C226" s="3" t="s">
        <v>842</v>
      </c>
      <c r="D226" s="3" t="s">
        <v>843</v>
      </c>
      <c r="E226" s="3" t="s">
        <v>844</v>
      </c>
      <c r="F226" s="3" t="s">
        <v>68</v>
      </c>
      <c r="G226" s="3" t="s">
        <v>59</v>
      </c>
      <c r="H226" s="3" t="s">
        <v>27</v>
      </c>
      <c r="I226" s="3">
        <v>12</v>
      </c>
      <c r="J226" s="3">
        <v>26095</v>
      </c>
      <c r="K226" s="3">
        <v>313140</v>
      </c>
      <c r="L226" s="3">
        <v>208368</v>
      </c>
      <c r="M226" s="3">
        <v>104772</v>
      </c>
      <c r="N226" s="3">
        <v>13</v>
      </c>
      <c r="O226" s="3" t="s">
        <v>875</v>
      </c>
      <c r="P226" s="3" t="s">
        <v>846</v>
      </c>
      <c r="Q226" s="3">
        <v>4</v>
      </c>
      <c r="R226" s="3" t="s">
        <v>861</v>
      </c>
    </row>
    <row r="227" spans="1:18" x14ac:dyDescent="0.3">
      <c r="A227" s="3" t="s">
        <v>1101</v>
      </c>
      <c r="B227" s="3" t="s">
        <v>874</v>
      </c>
      <c r="C227" s="3" t="s">
        <v>877</v>
      </c>
      <c r="D227" s="3" t="s">
        <v>878</v>
      </c>
      <c r="E227" s="3" t="s">
        <v>844</v>
      </c>
      <c r="F227" s="3" t="s">
        <v>68</v>
      </c>
      <c r="G227" s="3" t="s">
        <v>59</v>
      </c>
      <c r="H227" s="3" t="s">
        <v>49</v>
      </c>
      <c r="I227" s="3">
        <v>8</v>
      </c>
      <c r="J227" s="3">
        <v>17142</v>
      </c>
      <c r="K227" s="3">
        <v>137136</v>
      </c>
      <c r="L227" s="3">
        <v>102968</v>
      </c>
      <c r="M227" s="3">
        <v>34168</v>
      </c>
      <c r="N227" s="3">
        <v>14</v>
      </c>
      <c r="O227" s="3" t="s">
        <v>854</v>
      </c>
      <c r="P227" s="3" t="s">
        <v>846</v>
      </c>
      <c r="Q227" s="3">
        <v>4</v>
      </c>
      <c r="R227" s="3" t="s">
        <v>861</v>
      </c>
    </row>
    <row r="228" spans="1:18" x14ac:dyDescent="0.3">
      <c r="A228" s="3" t="s">
        <v>1102</v>
      </c>
      <c r="B228" s="3" t="s">
        <v>841</v>
      </c>
      <c r="C228" s="3" t="s">
        <v>863</v>
      </c>
      <c r="D228" s="3" t="s">
        <v>864</v>
      </c>
      <c r="E228" s="3" t="s">
        <v>844</v>
      </c>
      <c r="F228" s="3" t="s">
        <v>79</v>
      </c>
      <c r="G228" s="3" t="s">
        <v>39</v>
      </c>
      <c r="H228" s="3" t="s">
        <v>27</v>
      </c>
      <c r="I228" s="3">
        <v>3</v>
      </c>
      <c r="J228" s="3">
        <v>12186</v>
      </c>
      <c r="K228" s="3">
        <v>36558</v>
      </c>
      <c r="L228" s="3">
        <v>26985</v>
      </c>
      <c r="M228" s="3">
        <v>9573</v>
      </c>
      <c r="N228" s="3">
        <v>2</v>
      </c>
      <c r="O228" s="3" t="s">
        <v>865</v>
      </c>
      <c r="P228" s="3" t="s">
        <v>866</v>
      </c>
      <c r="Q228" s="3">
        <v>3.7</v>
      </c>
      <c r="R228" s="3" t="s">
        <v>861</v>
      </c>
    </row>
    <row r="229" spans="1:18" x14ac:dyDescent="0.3">
      <c r="A229" s="3" t="s">
        <v>1103</v>
      </c>
      <c r="B229" s="3" t="s">
        <v>884</v>
      </c>
      <c r="C229" s="3" t="s">
        <v>842</v>
      </c>
      <c r="D229" s="3" t="s">
        <v>843</v>
      </c>
      <c r="E229" s="3" t="s">
        <v>844</v>
      </c>
      <c r="F229" s="3" t="s">
        <v>68</v>
      </c>
      <c r="G229" s="3" t="s">
        <v>59</v>
      </c>
      <c r="H229" s="3" t="s">
        <v>49</v>
      </c>
      <c r="I229" s="3">
        <v>8</v>
      </c>
      <c r="J229" s="3">
        <v>25688</v>
      </c>
      <c r="K229" s="3">
        <v>205504</v>
      </c>
      <c r="L229" s="3">
        <v>140904</v>
      </c>
      <c r="M229" s="3">
        <v>64600</v>
      </c>
      <c r="N229" s="3">
        <v>6</v>
      </c>
      <c r="O229" s="3" t="s">
        <v>845</v>
      </c>
      <c r="P229" s="3" t="s">
        <v>858</v>
      </c>
      <c r="Q229" s="3">
        <v>4.3</v>
      </c>
      <c r="R229" s="3" t="s">
        <v>847</v>
      </c>
    </row>
    <row r="230" spans="1:18" x14ac:dyDescent="0.3">
      <c r="A230" s="3" t="s">
        <v>1104</v>
      </c>
      <c r="B230" s="3" t="s">
        <v>874</v>
      </c>
      <c r="C230" s="3" t="s">
        <v>889</v>
      </c>
      <c r="D230" s="3" t="s">
        <v>890</v>
      </c>
      <c r="E230" s="3" t="s">
        <v>872</v>
      </c>
      <c r="F230" s="3" t="s">
        <v>79</v>
      </c>
      <c r="G230" s="3" t="s">
        <v>59</v>
      </c>
      <c r="H230" s="3" t="s">
        <v>38</v>
      </c>
      <c r="I230" s="3">
        <v>7</v>
      </c>
      <c r="J230" s="3">
        <v>11221</v>
      </c>
      <c r="K230" s="3">
        <v>78547</v>
      </c>
      <c r="L230" s="3">
        <v>44506</v>
      </c>
      <c r="M230" s="3">
        <v>34041</v>
      </c>
      <c r="N230" s="3">
        <v>13</v>
      </c>
      <c r="O230" s="3" t="s">
        <v>845</v>
      </c>
      <c r="P230" s="3" t="s">
        <v>858</v>
      </c>
      <c r="Q230" s="3">
        <v>3.3</v>
      </c>
      <c r="R230" s="3" t="s">
        <v>861</v>
      </c>
    </row>
    <row r="231" spans="1:18" x14ac:dyDescent="0.3">
      <c r="A231" s="3" t="s">
        <v>1105</v>
      </c>
      <c r="B231" s="3" t="s">
        <v>841</v>
      </c>
      <c r="C231" s="3" t="s">
        <v>863</v>
      </c>
      <c r="D231" s="3" t="s">
        <v>864</v>
      </c>
      <c r="E231" s="3" t="s">
        <v>844</v>
      </c>
      <c r="F231" s="3" t="s">
        <v>136</v>
      </c>
      <c r="G231" s="3" t="s">
        <v>26</v>
      </c>
      <c r="H231" s="3" t="s">
        <v>98</v>
      </c>
      <c r="I231" s="3">
        <v>3</v>
      </c>
      <c r="J231" s="3">
        <v>12636</v>
      </c>
      <c r="K231" s="3">
        <v>37908</v>
      </c>
      <c r="L231" s="3">
        <v>27165</v>
      </c>
      <c r="M231" s="3">
        <v>10743</v>
      </c>
      <c r="N231" s="3">
        <v>10</v>
      </c>
      <c r="O231" s="3" t="s">
        <v>865</v>
      </c>
      <c r="P231" s="3" t="s">
        <v>855</v>
      </c>
      <c r="Q231" s="3">
        <v>3.9</v>
      </c>
      <c r="R231" s="3" t="s">
        <v>861</v>
      </c>
    </row>
    <row r="232" spans="1:18" x14ac:dyDescent="0.3">
      <c r="A232" s="3" t="s">
        <v>1106</v>
      </c>
      <c r="B232" s="3" t="s">
        <v>868</v>
      </c>
      <c r="C232" s="3" t="s">
        <v>877</v>
      </c>
      <c r="D232" s="3" t="s">
        <v>878</v>
      </c>
      <c r="E232" s="3" t="s">
        <v>844</v>
      </c>
      <c r="F232" s="3" t="s">
        <v>79</v>
      </c>
      <c r="G232" s="3" t="s">
        <v>39</v>
      </c>
      <c r="H232" s="3" t="s">
        <v>38</v>
      </c>
      <c r="I232" s="3">
        <v>6</v>
      </c>
      <c r="J232" s="3">
        <v>19240</v>
      </c>
      <c r="K232" s="3">
        <v>115440</v>
      </c>
      <c r="L232" s="3">
        <v>77730</v>
      </c>
      <c r="M232" s="3">
        <v>37710</v>
      </c>
      <c r="N232" s="3">
        <v>16</v>
      </c>
      <c r="O232" s="3" t="s">
        <v>845</v>
      </c>
      <c r="P232" s="3" t="s">
        <v>858</v>
      </c>
      <c r="Q232" s="3">
        <v>3.2</v>
      </c>
      <c r="R232" s="3" t="s">
        <v>847</v>
      </c>
    </row>
    <row r="233" spans="1:18" x14ac:dyDescent="0.3">
      <c r="A233" s="3" t="s">
        <v>1107</v>
      </c>
      <c r="B233" s="3" t="s">
        <v>849</v>
      </c>
      <c r="C233" s="3" t="s">
        <v>870</v>
      </c>
      <c r="D233" s="3" t="s">
        <v>871</v>
      </c>
      <c r="E233" s="3" t="s">
        <v>872</v>
      </c>
      <c r="F233" s="3" t="s">
        <v>125</v>
      </c>
      <c r="G233" s="3" t="s">
        <v>26</v>
      </c>
      <c r="H233" s="3" t="s">
        <v>25</v>
      </c>
      <c r="I233" s="3">
        <v>5</v>
      </c>
      <c r="J233" s="3">
        <v>5573</v>
      </c>
      <c r="K233" s="3">
        <v>27865</v>
      </c>
      <c r="L233" s="3">
        <v>14295</v>
      </c>
      <c r="M233" s="3">
        <v>13570</v>
      </c>
      <c r="N233" s="3">
        <v>1</v>
      </c>
      <c r="O233" s="3" t="s">
        <v>845</v>
      </c>
      <c r="P233" s="3" t="s">
        <v>846</v>
      </c>
      <c r="Q233" s="3">
        <v>4.3</v>
      </c>
      <c r="R233" s="3" t="s">
        <v>861</v>
      </c>
    </row>
    <row r="234" spans="1:18" x14ac:dyDescent="0.3">
      <c r="A234" s="3" t="s">
        <v>1108</v>
      </c>
      <c r="B234" s="3" t="s">
        <v>849</v>
      </c>
      <c r="C234" s="3" t="s">
        <v>842</v>
      </c>
      <c r="D234" s="3" t="s">
        <v>843</v>
      </c>
      <c r="E234" s="3" t="s">
        <v>844</v>
      </c>
      <c r="F234" s="3" t="s">
        <v>136</v>
      </c>
      <c r="G234" s="3" t="s">
        <v>26</v>
      </c>
      <c r="H234" s="3" t="s">
        <v>98</v>
      </c>
      <c r="I234" s="3">
        <v>5</v>
      </c>
      <c r="J234" s="3">
        <v>26135</v>
      </c>
      <c r="K234" s="3">
        <v>130675</v>
      </c>
      <c r="L234" s="3">
        <v>89020</v>
      </c>
      <c r="M234" s="3">
        <v>41655</v>
      </c>
      <c r="N234" s="3">
        <v>17</v>
      </c>
      <c r="O234" s="3" t="s">
        <v>875</v>
      </c>
      <c r="P234" s="3" t="s">
        <v>855</v>
      </c>
      <c r="Q234" s="3">
        <v>3.1</v>
      </c>
      <c r="R234" s="3" t="s">
        <v>861</v>
      </c>
    </row>
    <row r="235" spans="1:18" x14ac:dyDescent="0.3">
      <c r="A235" s="3" t="s">
        <v>1109</v>
      </c>
      <c r="B235" s="3" t="s">
        <v>888</v>
      </c>
      <c r="C235" s="3" t="s">
        <v>842</v>
      </c>
      <c r="D235" s="3" t="s">
        <v>843</v>
      </c>
      <c r="E235" s="3" t="s">
        <v>844</v>
      </c>
      <c r="F235" s="3" t="s">
        <v>143</v>
      </c>
      <c r="G235" s="3" t="s">
        <v>26</v>
      </c>
      <c r="H235" s="3" t="s">
        <v>98</v>
      </c>
      <c r="I235" s="3">
        <v>11</v>
      </c>
      <c r="J235" s="3">
        <v>26472</v>
      </c>
      <c r="K235" s="3">
        <v>291192</v>
      </c>
      <c r="L235" s="3">
        <v>202202</v>
      </c>
      <c r="M235" s="3">
        <v>88990</v>
      </c>
      <c r="N235" s="3">
        <v>14</v>
      </c>
      <c r="O235" s="3" t="s">
        <v>845</v>
      </c>
      <c r="P235" s="3" t="s">
        <v>866</v>
      </c>
      <c r="Q235" s="3">
        <v>3.3</v>
      </c>
      <c r="R235" s="3" t="s">
        <v>861</v>
      </c>
    </row>
    <row r="236" spans="1:18" x14ac:dyDescent="0.3">
      <c r="A236" s="3" t="s">
        <v>1110</v>
      </c>
      <c r="B236" s="3" t="s">
        <v>841</v>
      </c>
      <c r="C236" s="3" t="s">
        <v>870</v>
      </c>
      <c r="D236" s="3" t="s">
        <v>871</v>
      </c>
      <c r="E236" s="3" t="s">
        <v>872</v>
      </c>
      <c r="F236" s="3" t="s">
        <v>143</v>
      </c>
      <c r="G236" s="3" t="s">
        <v>81</v>
      </c>
      <c r="H236" s="3" t="s">
        <v>28</v>
      </c>
      <c r="I236" s="3">
        <v>13</v>
      </c>
      <c r="J236" s="3">
        <v>4784</v>
      </c>
      <c r="K236" s="3">
        <v>62192</v>
      </c>
      <c r="L236" s="3">
        <v>34619</v>
      </c>
      <c r="M236" s="3">
        <v>27573</v>
      </c>
      <c r="N236" s="3">
        <v>9</v>
      </c>
      <c r="O236" s="3" t="s">
        <v>875</v>
      </c>
      <c r="P236" s="3" t="s">
        <v>846</v>
      </c>
      <c r="Q236" s="3">
        <v>3.8</v>
      </c>
      <c r="R236" s="3" t="s">
        <v>847</v>
      </c>
    </row>
    <row r="237" spans="1:18" x14ac:dyDescent="0.3">
      <c r="A237" s="3" t="s">
        <v>1111</v>
      </c>
      <c r="B237" s="3" t="s">
        <v>907</v>
      </c>
      <c r="C237" s="3" t="s">
        <v>850</v>
      </c>
      <c r="D237" s="3" t="s">
        <v>851</v>
      </c>
      <c r="E237" s="3" t="s">
        <v>844</v>
      </c>
      <c r="F237" s="3" t="s">
        <v>47</v>
      </c>
      <c r="G237" s="3" t="s">
        <v>39</v>
      </c>
      <c r="H237" s="3" t="s">
        <v>38</v>
      </c>
      <c r="I237" s="3">
        <v>9</v>
      </c>
      <c r="J237" s="3">
        <v>54510</v>
      </c>
      <c r="K237" s="3">
        <v>490590</v>
      </c>
      <c r="L237" s="3">
        <v>379908</v>
      </c>
      <c r="M237" s="3">
        <v>110682</v>
      </c>
      <c r="N237" s="3">
        <v>6</v>
      </c>
      <c r="O237" s="3" t="s">
        <v>865</v>
      </c>
      <c r="P237" s="3" t="s">
        <v>846</v>
      </c>
      <c r="Q237" s="3">
        <v>4.3</v>
      </c>
      <c r="R237" s="3" t="s">
        <v>861</v>
      </c>
    </row>
    <row r="238" spans="1:18" x14ac:dyDescent="0.3">
      <c r="A238" s="3" t="s">
        <v>1112</v>
      </c>
      <c r="B238" s="3" t="s">
        <v>857</v>
      </c>
      <c r="C238" s="3" t="s">
        <v>889</v>
      </c>
      <c r="D238" s="3" t="s">
        <v>890</v>
      </c>
      <c r="E238" s="3" t="s">
        <v>872</v>
      </c>
      <c r="F238" s="3" t="s">
        <v>75</v>
      </c>
      <c r="G238" s="3" t="s">
        <v>39</v>
      </c>
      <c r="H238" s="3" t="s">
        <v>49</v>
      </c>
      <c r="I238" s="3">
        <v>3</v>
      </c>
      <c r="J238" s="3">
        <v>9787</v>
      </c>
      <c r="K238" s="3">
        <v>29361</v>
      </c>
      <c r="L238" s="3">
        <v>21426</v>
      </c>
      <c r="M238" s="3">
        <v>7935</v>
      </c>
      <c r="N238" s="3">
        <v>6</v>
      </c>
      <c r="O238" s="3" t="s">
        <v>875</v>
      </c>
      <c r="P238" s="3" t="s">
        <v>858</v>
      </c>
      <c r="Q238" s="3">
        <v>4.5</v>
      </c>
      <c r="R238" s="3" t="s">
        <v>861</v>
      </c>
    </row>
    <row r="239" spans="1:18" x14ac:dyDescent="0.3">
      <c r="A239" s="3" t="s">
        <v>1113</v>
      </c>
      <c r="B239" s="3" t="s">
        <v>886</v>
      </c>
      <c r="C239" s="3" t="s">
        <v>850</v>
      </c>
      <c r="D239" s="3" t="s">
        <v>851</v>
      </c>
      <c r="E239" s="3" t="s">
        <v>844</v>
      </c>
      <c r="F239" s="3" t="s">
        <v>136</v>
      </c>
      <c r="G239" s="3" t="s">
        <v>81</v>
      </c>
      <c r="H239" s="3" t="s">
        <v>27</v>
      </c>
      <c r="I239" s="3">
        <v>13</v>
      </c>
      <c r="J239" s="3">
        <v>56031</v>
      </c>
      <c r="K239" s="3">
        <v>728403</v>
      </c>
      <c r="L239" s="3">
        <v>543985</v>
      </c>
      <c r="M239" s="3">
        <v>184418</v>
      </c>
      <c r="N239" s="3">
        <v>7</v>
      </c>
      <c r="O239" s="3" t="s">
        <v>845</v>
      </c>
      <c r="P239" s="3" t="s">
        <v>858</v>
      </c>
      <c r="Q239" s="3">
        <v>4.9000000000000004</v>
      </c>
      <c r="R239" s="3" t="s">
        <v>861</v>
      </c>
    </row>
    <row r="240" spans="1:18" x14ac:dyDescent="0.3">
      <c r="A240" s="3" t="s">
        <v>1114</v>
      </c>
      <c r="B240" s="3" t="s">
        <v>853</v>
      </c>
      <c r="C240" s="3" t="s">
        <v>850</v>
      </c>
      <c r="D240" s="3" t="s">
        <v>851</v>
      </c>
      <c r="E240" s="3" t="s">
        <v>844</v>
      </c>
      <c r="F240" s="3" t="s">
        <v>125</v>
      </c>
      <c r="G240" s="3" t="s">
        <v>81</v>
      </c>
      <c r="H240" s="3" t="s">
        <v>28</v>
      </c>
      <c r="I240" s="3">
        <v>6</v>
      </c>
      <c r="J240" s="3">
        <v>56276</v>
      </c>
      <c r="K240" s="3">
        <v>337656</v>
      </c>
      <c r="L240" s="3">
        <v>256176</v>
      </c>
      <c r="M240" s="3">
        <v>81480</v>
      </c>
      <c r="N240" s="3">
        <v>9</v>
      </c>
      <c r="O240" s="3" t="s">
        <v>865</v>
      </c>
      <c r="P240" s="3" t="s">
        <v>855</v>
      </c>
      <c r="Q240" s="3">
        <v>4.3</v>
      </c>
      <c r="R240" s="3" t="s">
        <v>847</v>
      </c>
    </row>
    <row r="241" spans="1:18" x14ac:dyDescent="0.3">
      <c r="A241" s="3" t="s">
        <v>1115</v>
      </c>
      <c r="B241" s="3" t="s">
        <v>942</v>
      </c>
      <c r="C241" s="3" t="s">
        <v>850</v>
      </c>
      <c r="D241" s="3" t="s">
        <v>851</v>
      </c>
      <c r="E241" s="3" t="s">
        <v>844</v>
      </c>
      <c r="F241" s="3" t="s">
        <v>47</v>
      </c>
      <c r="G241" s="3" t="s">
        <v>26</v>
      </c>
      <c r="H241" s="3" t="s">
        <v>27</v>
      </c>
      <c r="I241" s="3">
        <v>15</v>
      </c>
      <c r="J241" s="3">
        <v>54723</v>
      </c>
      <c r="K241" s="3">
        <v>820845</v>
      </c>
      <c r="L241" s="3">
        <v>621000</v>
      </c>
      <c r="M241" s="3">
        <v>199845</v>
      </c>
      <c r="N241" s="3">
        <v>2</v>
      </c>
      <c r="O241" s="3" t="s">
        <v>845</v>
      </c>
      <c r="P241" s="3" t="s">
        <v>855</v>
      </c>
      <c r="Q241" s="3">
        <v>4.4000000000000004</v>
      </c>
      <c r="R241" s="3" t="s">
        <v>847</v>
      </c>
    </row>
    <row r="242" spans="1:18" x14ac:dyDescent="0.3">
      <c r="A242" s="3" t="s">
        <v>1116</v>
      </c>
      <c r="B242" s="3" t="s">
        <v>907</v>
      </c>
      <c r="C242" s="3" t="s">
        <v>877</v>
      </c>
      <c r="D242" s="3" t="s">
        <v>878</v>
      </c>
      <c r="E242" s="3" t="s">
        <v>844</v>
      </c>
      <c r="F242" s="3" t="s">
        <v>75</v>
      </c>
      <c r="G242" s="3" t="s">
        <v>81</v>
      </c>
      <c r="H242" s="3" t="s">
        <v>49</v>
      </c>
      <c r="I242" s="3">
        <v>15</v>
      </c>
      <c r="J242" s="3">
        <v>17242</v>
      </c>
      <c r="K242" s="3">
        <v>258630</v>
      </c>
      <c r="L242" s="3">
        <v>186825</v>
      </c>
      <c r="M242" s="3">
        <v>71805</v>
      </c>
      <c r="N242" s="3">
        <v>3</v>
      </c>
      <c r="O242" s="3" t="s">
        <v>865</v>
      </c>
      <c r="P242" s="3" t="s">
        <v>866</v>
      </c>
      <c r="Q242" s="3">
        <v>4</v>
      </c>
      <c r="R242" s="3" t="s">
        <v>861</v>
      </c>
    </row>
    <row r="243" spans="1:18" x14ac:dyDescent="0.3">
      <c r="A243" s="3" t="s">
        <v>1117</v>
      </c>
      <c r="B243" s="3" t="s">
        <v>853</v>
      </c>
      <c r="C243" s="3" t="s">
        <v>870</v>
      </c>
      <c r="D243" s="3" t="s">
        <v>871</v>
      </c>
      <c r="E243" s="3" t="s">
        <v>872</v>
      </c>
      <c r="F243" s="3" t="s">
        <v>75</v>
      </c>
      <c r="G243" s="3" t="s">
        <v>39</v>
      </c>
      <c r="H243" s="3" t="s">
        <v>28</v>
      </c>
      <c r="I243" s="3">
        <v>13</v>
      </c>
      <c r="J243" s="3">
        <v>4400</v>
      </c>
      <c r="K243" s="3">
        <v>57200</v>
      </c>
      <c r="L243" s="3">
        <v>40014</v>
      </c>
      <c r="M243" s="3">
        <v>17186</v>
      </c>
      <c r="N243" s="3">
        <v>3</v>
      </c>
      <c r="O243" s="3" t="s">
        <v>865</v>
      </c>
      <c r="P243" s="3" t="s">
        <v>855</v>
      </c>
      <c r="Q243" s="3">
        <v>4.3</v>
      </c>
      <c r="R243" s="3" t="s">
        <v>847</v>
      </c>
    </row>
    <row r="244" spans="1:18" x14ac:dyDescent="0.3">
      <c r="A244" s="3" t="s">
        <v>1118</v>
      </c>
      <c r="B244" s="3" t="s">
        <v>857</v>
      </c>
      <c r="C244" s="3" t="s">
        <v>850</v>
      </c>
      <c r="D244" s="3" t="s">
        <v>851</v>
      </c>
      <c r="E244" s="3" t="s">
        <v>844</v>
      </c>
      <c r="F244" s="3" t="s">
        <v>47</v>
      </c>
      <c r="G244" s="3" t="s">
        <v>59</v>
      </c>
      <c r="H244" s="3" t="s">
        <v>98</v>
      </c>
      <c r="I244" s="3">
        <v>3</v>
      </c>
      <c r="J244" s="3">
        <v>56266</v>
      </c>
      <c r="K244" s="3">
        <v>168798</v>
      </c>
      <c r="L244" s="3">
        <v>124620</v>
      </c>
      <c r="M244" s="3">
        <v>44178</v>
      </c>
      <c r="N244" s="3">
        <v>18</v>
      </c>
      <c r="O244" s="3" t="s">
        <v>854</v>
      </c>
      <c r="P244" s="3" t="s">
        <v>855</v>
      </c>
      <c r="Q244" s="3">
        <v>3</v>
      </c>
      <c r="R244" s="3" t="s">
        <v>847</v>
      </c>
    </row>
    <row r="245" spans="1:18" x14ac:dyDescent="0.3">
      <c r="A245" s="3" t="s">
        <v>1119</v>
      </c>
      <c r="B245" s="3" t="s">
        <v>857</v>
      </c>
      <c r="C245" s="3" t="s">
        <v>863</v>
      </c>
      <c r="D245" s="3" t="s">
        <v>864</v>
      </c>
      <c r="E245" s="3" t="s">
        <v>844</v>
      </c>
      <c r="F245" s="3" t="s">
        <v>68</v>
      </c>
      <c r="G245" s="3" t="s">
        <v>26</v>
      </c>
      <c r="H245" s="3" t="s">
        <v>98</v>
      </c>
      <c r="I245" s="3">
        <v>5</v>
      </c>
      <c r="J245" s="3">
        <v>11616</v>
      </c>
      <c r="K245" s="3">
        <v>58080</v>
      </c>
      <c r="L245" s="3">
        <v>43895</v>
      </c>
      <c r="M245" s="3">
        <v>14185</v>
      </c>
      <c r="N245" s="3">
        <v>0</v>
      </c>
      <c r="O245" s="3" t="s">
        <v>875</v>
      </c>
      <c r="P245" s="3" t="s">
        <v>858</v>
      </c>
      <c r="Q245" s="3">
        <v>4.3</v>
      </c>
      <c r="R245" s="3" t="s">
        <v>847</v>
      </c>
    </row>
    <row r="246" spans="1:18" x14ac:dyDescent="0.3">
      <c r="A246" s="3" t="s">
        <v>1120</v>
      </c>
      <c r="B246" s="3" t="s">
        <v>874</v>
      </c>
      <c r="C246" s="3" t="s">
        <v>877</v>
      </c>
      <c r="D246" s="3" t="s">
        <v>878</v>
      </c>
      <c r="E246" s="3" t="s">
        <v>844</v>
      </c>
      <c r="F246" s="3" t="s">
        <v>68</v>
      </c>
      <c r="G246" s="3" t="s">
        <v>26</v>
      </c>
      <c r="H246" s="3" t="s">
        <v>38</v>
      </c>
      <c r="I246" s="3">
        <v>13</v>
      </c>
      <c r="J246" s="3">
        <v>17378</v>
      </c>
      <c r="K246" s="3">
        <v>225914</v>
      </c>
      <c r="L246" s="3">
        <v>166777</v>
      </c>
      <c r="M246" s="3">
        <v>59137</v>
      </c>
      <c r="N246" s="3">
        <v>14</v>
      </c>
      <c r="O246" s="3" t="s">
        <v>875</v>
      </c>
      <c r="P246" s="3" t="s">
        <v>858</v>
      </c>
      <c r="Q246" s="3">
        <v>4.0999999999999996</v>
      </c>
      <c r="R246" s="3" t="s">
        <v>847</v>
      </c>
    </row>
    <row r="247" spans="1:18" x14ac:dyDescent="0.3">
      <c r="A247" s="3" t="s">
        <v>1121</v>
      </c>
      <c r="B247" s="3" t="s">
        <v>897</v>
      </c>
      <c r="C247" s="3" t="s">
        <v>889</v>
      </c>
      <c r="D247" s="3" t="s">
        <v>890</v>
      </c>
      <c r="E247" s="3" t="s">
        <v>872</v>
      </c>
      <c r="F247" s="3" t="s">
        <v>79</v>
      </c>
      <c r="G247" s="3" t="s">
        <v>59</v>
      </c>
      <c r="H247" s="3" t="s">
        <v>27</v>
      </c>
      <c r="I247" s="3">
        <v>10</v>
      </c>
      <c r="J247" s="3">
        <v>10125</v>
      </c>
      <c r="K247" s="3">
        <v>101250</v>
      </c>
      <c r="L247" s="3">
        <v>72590</v>
      </c>
      <c r="M247" s="3">
        <v>28660</v>
      </c>
      <c r="N247" s="3">
        <v>15</v>
      </c>
      <c r="O247" s="3" t="s">
        <v>865</v>
      </c>
      <c r="P247" s="3" t="s">
        <v>866</v>
      </c>
      <c r="Q247" s="3">
        <v>3.8</v>
      </c>
      <c r="R247" s="3" t="s">
        <v>847</v>
      </c>
    </row>
    <row r="248" spans="1:18" x14ac:dyDescent="0.3">
      <c r="A248" s="3" t="s">
        <v>1122</v>
      </c>
      <c r="B248" s="3" t="s">
        <v>884</v>
      </c>
      <c r="C248" s="3" t="s">
        <v>850</v>
      </c>
      <c r="D248" s="3" t="s">
        <v>851</v>
      </c>
      <c r="E248" s="3" t="s">
        <v>844</v>
      </c>
      <c r="F248" s="3" t="s">
        <v>75</v>
      </c>
      <c r="G248" s="3" t="s">
        <v>39</v>
      </c>
      <c r="H248" s="3" t="s">
        <v>27</v>
      </c>
      <c r="I248" s="3">
        <v>15</v>
      </c>
      <c r="J248" s="3">
        <v>55907</v>
      </c>
      <c r="K248" s="3">
        <v>838605</v>
      </c>
      <c r="L248" s="3">
        <v>627945</v>
      </c>
      <c r="M248" s="3">
        <v>210660</v>
      </c>
      <c r="N248" s="3">
        <v>6</v>
      </c>
      <c r="O248" s="3" t="s">
        <v>854</v>
      </c>
      <c r="P248" s="3" t="s">
        <v>846</v>
      </c>
      <c r="Q248" s="3">
        <v>4.3</v>
      </c>
      <c r="R248" s="3" t="s">
        <v>861</v>
      </c>
    </row>
    <row r="249" spans="1:18" x14ac:dyDescent="0.3">
      <c r="A249" s="3" t="s">
        <v>1123</v>
      </c>
      <c r="B249" s="3" t="s">
        <v>853</v>
      </c>
      <c r="C249" s="3" t="s">
        <v>863</v>
      </c>
      <c r="D249" s="3" t="s">
        <v>864</v>
      </c>
      <c r="E249" s="3" t="s">
        <v>844</v>
      </c>
      <c r="F249" s="3" t="s">
        <v>47</v>
      </c>
      <c r="G249" s="3" t="s">
        <v>26</v>
      </c>
      <c r="H249" s="3" t="s">
        <v>27</v>
      </c>
      <c r="I249" s="3">
        <v>7</v>
      </c>
      <c r="J249" s="3">
        <v>13487</v>
      </c>
      <c r="K249" s="3">
        <v>94409</v>
      </c>
      <c r="L249" s="3">
        <v>62755</v>
      </c>
      <c r="M249" s="3">
        <v>31654</v>
      </c>
      <c r="N249" s="3">
        <v>19</v>
      </c>
      <c r="O249" s="3" t="s">
        <v>854</v>
      </c>
      <c r="P249" s="3" t="s">
        <v>855</v>
      </c>
      <c r="Q249" s="3">
        <v>3.7</v>
      </c>
      <c r="R249" s="3" t="s">
        <v>861</v>
      </c>
    </row>
    <row r="250" spans="1:18" x14ac:dyDescent="0.3">
      <c r="A250" s="3" t="s">
        <v>1124</v>
      </c>
      <c r="B250" s="3" t="s">
        <v>888</v>
      </c>
      <c r="C250" s="3" t="s">
        <v>870</v>
      </c>
      <c r="D250" s="3" t="s">
        <v>871</v>
      </c>
      <c r="E250" s="3" t="s">
        <v>872</v>
      </c>
      <c r="F250" s="3" t="s">
        <v>136</v>
      </c>
      <c r="G250" s="3" t="s">
        <v>26</v>
      </c>
      <c r="H250" s="3" t="s">
        <v>25</v>
      </c>
      <c r="I250" s="3">
        <v>12</v>
      </c>
      <c r="J250" s="3">
        <v>6086</v>
      </c>
      <c r="K250" s="3">
        <v>73032</v>
      </c>
      <c r="L250" s="3">
        <v>44928</v>
      </c>
      <c r="M250" s="3">
        <v>28104</v>
      </c>
      <c r="N250" s="3">
        <v>9</v>
      </c>
      <c r="O250" s="3" t="s">
        <v>845</v>
      </c>
      <c r="P250" s="3" t="s">
        <v>858</v>
      </c>
      <c r="Q250" s="3">
        <v>3.2</v>
      </c>
      <c r="R250" s="3" t="s">
        <v>861</v>
      </c>
    </row>
    <row r="251" spans="1:18" x14ac:dyDescent="0.3">
      <c r="A251" s="3" t="s">
        <v>1125</v>
      </c>
      <c r="B251" s="3" t="s">
        <v>849</v>
      </c>
      <c r="C251" s="3" t="s">
        <v>870</v>
      </c>
      <c r="D251" s="3" t="s">
        <v>871</v>
      </c>
      <c r="E251" s="3" t="s">
        <v>872</v>
      </c>
      <c r="F251" s="3" t="s">
        <v>143</v>
      </c>
      <c r="G251" s="3" t="s">
        <v>59</v>
      </c>
      <c r="H251" s="3" t="s">
        <v>38</v>
      </c>
      <c r="I251" s="3">
        <v>7</v>
      </c>
      <c r="J251" s="3">
        <v>4040</v>
      </c>
      <c r="K251" s="3">
        <v>28280</v>
      </c>
      <c r="L251" s="3">
        <v>25172</v>
      </c>
      <c r="M251" s="3">
        <v>3108</v>
      </c>
      <c r="N251" s="3">
        <v>12</v>
      </c>
      <c r="O251" s="3" t="s">
        <v>875</v>
      </c>
      <c r="P251" s="3" t="s">
        <v>858</v>
      </c>
      <c r="Q251" s="3">
        <v>3</v>
      </c>
      <c r="R251" s="3" t="s">
        <v>861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zoomScaleNormal="100" workbookViewId="0">
      <selection activeCell="H15" sqref="H15"/>
    </sheetView>
  </sheetViews>
  <sheetFormatPr defaultColWidth="8.6640625" defaultRowHeight="14.4" x14ac:dyDescent="0.3"/>
  <cols>
    <col min="1" max="13" width="7" bestFit="1" customWidth="1"/>
  </cols>
  <sheetData>
    <row r="1" spans="1:13" x14ac:dyDescent="0.3">
      <c r="A1" s="5" t="s">
        <v>1126</v>
      </c>
    </row>
    <row r="3" spans="1:13" x14ac:dyDescent="0.3">
      <c r="A3" s="2" t="s">
        <v>1127</v>
      </c>
      <c r="B3" s="2" t="s">
        <v>1128</v>
      </c>
      <c r="C3" s="2" t="s">
        <v>1129</v>
      </c>
      <c r="D3" s="2" t="s">
        <v>1130</v>
      </c>
      <c r="E3" s="2" t="s">
        <v>1131</v>
      </c>
      <c r="F3" s="2" t="s">
        <v>1132</v>
      </c>
      <c r="G3" s="2" t="s">
        <v>1133</v>
      </c>
      <c r="H3" s="2" t="s">
        <v>1134</v>
      </c>
      <c r="I3" s="2" t="s">
        <v>1135</v>
      </c>
      <c r="J3" s="2" t="s">
        <v>1136</v>
      </c>
      <c r="K3" s="2" t="s">
        <v>1137</v>
      </c>
      <c r="L3" s="2" t="s">
        <v>1138</v>
      </c>
      <c r="M3" s="2" t="s">
        <v>1139</v>
      </c>
    </row>
    <row r="4" spans="1:13" x14ac:dyDescent="0.3">
      <c r="A4" s="3" t="s">
        <v>36</v>
      </c>
      <c r="B4" s="3">
        <v>185000</v>
      </c>
      <c r="C4" s="3">
        <v>192000</v>
      </c>
      <c r="D4" s="3">
        <v>204000</v>
      </c>
      <c r="E4" s="3">
        <v>176000</v>
      </c>
      <c r="F4" s="3">
        <v>198000</v>
      </c>
      <c r="G4" s="3">
        <v>221000</v>
      </c>
      <c r="H4" s="3">
        <v>209000</v>
      </c>
      <c r="I4" s="3">
        <v>215000</v>
      </c>
      <c r="J4" s="3">
        <v>198500</v>
      </c>
      <c r="K4" s="3">
        <v>226000</v>
      </c>
      <c r="L4" s="3">
        <v>231000</v>
      </c>
      <c r="M4" s="3">
        <v>248000</v>
      </c>
    </row>
    <row r="6" spans="1:13" x14ac:dyDescent="0.3">
      <c r="A6" s="5" t="s">
        <v>1140</v>
      </c>
    </row>
    <row r="8" spans="1:13" ht="27.6" x14ac:dyDescent="0.3">
      <c r="A8" s="2" t="s">
        <v>826</v>
      </c>
      <c r="B8" s="2" t="s">
        <v>850</v>
      </c>
      <c r="C8" s="2" t="s">
        <v>842</v>
      </c>
      <c r="D8" s="2" t="s">
        <v>863</v>
      </c>
      <c r="E8" s="2" t="s">
        <v>870</v>
      </c>
      <c r="F8" s="2" t="s">
        <v>889</v>
      </c>
      <c r="G8" s="2" t="s">
        <v>877</v>
      </c>
    </row>
    <row r="9" spans="1:13" x14ac:dyDescent="0.3">
      <c r="A9" s="3" t="s">
        <v>827</v>
      </c>
      <c r="B9" s="3" t="s">
        <v>851</v>
      </c>
      <c r="C9" s="3" t="s">
        <v>843</v>
      </c>
      <c r="D9" s="3" t="s">
        <v>864</v>
      </c>
      <c r="E9" s="3" t="s">
        <v>871</v>
      </c>
      <c r="F9" s="3" t="s">
        <v>890</v>
      </c>
      <c r="G9" s="3" t="s">
        <v>878</v>
      </c>
      <c r="H9" s="3"/>
      <c r="I9" s="3"/>
      <c r="J9" s="3"/>
      <c r="K9" s="3"/>
      <c r="L9" s="3"/>
      <c r="M9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7"/>
  <sheetViews>
    <sheetView tabSelected="1" zoomScaleNormal="100" workbookViewId="0">
      <pane ySplit="1" topLeftCell="A95" activePane="bottomLeft" state="frozen"/>
      <selection pane="bottomLeft" activeCell="E16" sqref="E16"/>
    </sheetView>
  </sheetViews>
  <sheetFormatPr defaultColWidth="8.6640625" defaultRowHeight="14.4" x14ac:dyDescent="0.3"/>
  <cols>
    <col min="1" max="2" width="6" customWidth="1"/>
    <col min="3" max="3" width="44" customWidth="1"/>
    <col min="4" max="4" width="20" customWidth="1"/>
    <col min="5" max="5" width="14" customWidth="1"/>
    <col min="6" max="6" width="46" customWidth="1"/>
    <col min="7" max="7" width="22" customWidth="1"/>
  </cols>
  <sheetData>
    <row r="1" spans="1:7" ht="27.6" x14ac:dyDescent="0.3">
      <c r="A1" s="2" t="s">
        <v>1141</v>
      </c>
      <c r="B1" s="2" t="s">
        <v>1142</v>
      </c>
      <c r="C1" s="2" t="s">
        <v>1143</v>
      </c>
      <c r="D1" s="2" t="s">
        <v>1144</v>
      </c>
      <c r="E1" s="2" t="s">
        <v>1145</v>
      </c>
      <c r="F1" s="2" t="s">
        <v>1146</v>
      </c>
      <c r="G1" s="2" t="s">
        <v>1147</v>
      </c>
    </row>
    <row r="2" spans="1:7" ht="15.6" x14ac:dyDescent="0.3">
      <c r="A2" s="1" t="s">
        <v>1148</v>
      </c>
      <c r="B2" s="1"/>
      <c r="C2" s="1"/>
      <c r="D2" s="1"/>
      <c r="E2" s="1"/>
      <c r="F2" s="1"/>
      <c r="G2" s="1"/>
    </row>
    <row r="3" spans="1:7" x14ac:dyDescent="0.3">
      <c r="A3" s="6"/>
      <c r="B3" s="7" t="s">
        <v>1149</v>
      </c>
      <c r="C3" s="7" t="s">
        <v>1150</v>
      </c>
      <c r="D3" s="7" t="s">
        <v>1151</v>
      </c>
      <c r="E3" s="8" t="s">
        <v>20</v>
      </c>
      <c r="F3" s="7" t="s">
        <v>1152</v>
      </c>
      <c r="G3" s="9" t="str">
        <f>VLOOKUP(E3,Employee_Master!A:T,2,FALSE())</f>
        <v>Nisha</v>
      </c>
    </row>
    <row r="4" spans="1:7" x14ac:dyDescent="0.3">
      <c r="A4" s="6"/>
      <c r="B4" s="7" t="s">
        <v>1153</v>
      </c>
      <c r="C4" s="7" t="s">
        <v>1154</v>
      </c>
      <c r="D4" s="7" t="s">
        <v>1151</v>
      </c>
      <c r="E4" s="8" t="s">
        <v>20</v>
      </c>
      <c r="F4" s="7" t="s">
        <v>1155</v>
      </c>
      <c r="G4" s="9" t="str">
        <f>VLOOKUP(E4,Employee_Master!A:T,3,FALSE())</f>
        <v>IT</v>
      </c>
    </row>
    <row r="5" spans="1:7" x14ac:dyDescent="0.3">
      <c r="A5" s="6"/>
      <c r="B5" s="7" t="s">
        <v>1156</v>
      </c>
      <c r="C5" s="7" t="s">
        <v>1157</v>
      </c>
      <c r="D5" s="7" t="s">
        <v>1151</v>
      </c>
      <c r="E5" s="8" t="s">
        <v>20</v>
      </c>
      <c r="F5" s="7" t="s">
        <v>1158</v>
      </c>
      <c r="G5" s="9" t="str">
        <f>VLOOKUP(E5,Employee_Master!A:T,4,FALSE())</f>
        <v>Associate</v>
      </c>
    </row>
    <row r="6" spans="1:7" x14ac:dyDescent="0.3">
      <c r="A6" s="6"/>
      <c r="B6" s="7" t="s">
        <v>1159</v>
      </c>
      <c r="C6" s="7" t="s">
        <v>1160</v>
      </c>
      <c r="D6" s="7" t="s">
        <v>1151</v>
      </c>
      <c r="E6" s="8" t="s">
        <v>20</v>
      </c>
      <c r="F6" s="7" t="s">
        <v>1161</v>
      </c>
      <c r="G6" s="9" t="str">
        <f>VLOOKUP(E6,Employee_Master!A:T,5,FALSE())</f>
        <v>Meena</v>
      </c>
    </row>
    <row r="7" spans="1:7" x14ac:dyDescent="0.3">
      <c r="A7" s="6"/>
      <c r="B7" s="7" t="s">
        <v>1162</v>
      </c>
      <c r="C7" s="7" t="s">
        <v>1163</v>
      </c>
      <c r="D7" s="7" t="s">
        <v>1151</v>
      </c>
      <c r="E7" s="8" t="s">
        <v>20</v>
      </c>
      <c r="F7" s="7" t="s">
        <v>1164</v>
      </c>
      <c r="G7" s="9" t="str">
        <f>VLOOKUP(E7,Employee_Master!A:T,6,FALSE())</f>
        <v>Mumbai</v>
      </c>
    </row>
    <row r="8" spans="1:7" x14ac:dyDescent="0.3">
      <c r="A8" s="6"/>
      <c r="B8" s="7" t="s">
        <v>1165</v>
      </c>
      <c r="C8" s="7" t="s">
        <v>1166</v>
      </c>
      <c r="D8" s="7" t="s">
        <v>1151</v>
      </c>
      <c r="E8" s="8" t="s">
        <v>20</v>
      </c>
      <c r="F8" s="7" t="s">
        <v>1167</v>
      </c>
      <c r="G8" s="9" t="str">
        <f>VLOOKUP(E8,Employee_Master!A:T,7,FALSE())</f>
        <v>West</v>
      </c>
    </row>
    <row r="9" spans="1:7" x14ac:dyDescent="0.3">
      <c r="A9" s="6"/>
      <c r="B9" s="7" t="s">
        <v>1168</v>
      </c>
      <c r="C9" s="7" t="s">
        <v>1169</v>
      </c>
      <c r="D9" s="7" t="s">
        <v>1151</v>
      </c>
      <c r="E9" s="8" t="s">
        <v>20</v>
      </c>
      <c r="F9" s="7" t="s">
        <v>1170</v>
      </c>
      <c r="G9" s="9">
        <f>VLOOKUP(E9,Employee_Master!A:T,13,FALSE())</f>
        <v>79411</v>
      </c>
    </row>
    <row r="10" spans="1:7" x14ac:dyDescent="0.3">
      <c r="A10" s="6"/>
      <c r="B10" s="7" t="s">
        <v>1171</v>
      </c>
      <c r="C10" s="7" t="s">
        <v>1172</v>
      </c>
      <c r="D10" s="7" t="s">
        <v>1151</v>
      </c>
      <c r="E10" s="8" t="s">
        <v>20</v>
      </c>
      <c r="F10" s="7" t="s">
        <v>1173</v>
      </c>
      <c r="G10" s="9">
        <f>VLOOKUP(E10,Employee_Master!A:T,14,FALSE())</f>
        <v>6640</v>
      </c>
    </row>
    <row r="11" spans="1:7" x14ac:dyDescent="0.3">
      <c r="A11" s="6"/>
      <c r="B11" s="7" t="s">
        <v>1174</v>
      </c>
      <c r="C11" s="7" t="s">
        <v>1175</v>
      </c>
      <c r="D11" s="7" t="s">
        <v>1151</v>
      </c>
      <c r="E11" s="8" t="s">
        <v>20</v>
      </c>
      <c r="F11" s="7" t="s">
        <v>1176</v>
      </c>
      <c r="G11" s="9">
        <f>VLOOKUP(E11,Employee_Master!A:T,15,FALSE())</f>
        <v>3.1</v>
      </c>
    </row>
    <row r="12" spans="1:7" ht="28.8" x14ac:dyDescent="0.3">
      <c r="A12" s="6"/>
      <c r="B12" s="7" t="s">
        <v>1177</v>
      </c>
      <c r="C12" s="7" t="s">
        <v>1178</v>
      </c>
      <c r="D12" s="7" t="s">
        <v>1151</v>
      </c>
      <c r="E12" s="8" t="s">
        <v>821</v>
      </c>
      <c r="F12" s="7" t="s">
        <v>1179</v>
      </c>
      <c r="G12" s="9" t="str">
        <f>VLOOKUP(E12,Employee_Master!A:T,2,FALSE())</f>
        <v>Simran</v>
      </c>
    </row>
    <row r="13" spans="1:7" x14ac:dyDescent="0.3">
      <c r="A13" s="6"/>
      <c r="B13" s="7"/>
      <c r="C13" s="7" t="s">
        <v>1180</v>
      </c>
      <c r="D13" s="7" t="s">
        <v>1151</v>
      </c>
      <c r="E13" s="7"/>
      <c r="F13" s="7" t="s">
        <v>1181</v>
      </c>
      <c r="G13" s="9" t="str">
        <f>VLOOKUP(E12,Employee_Master!A:T,3,FALSE())</f>
        <v>HR</v>
      </c>
    </row>
    <row r="14" spans="1:7" x14ac:dyDescent="0.3">
      <c r="A14" s="6"/>
      <c r="B14" s="7"/>
      <c r="C14" s="7" t="s">
        <v>1182</v>
      </c>
      <c r="D14" s="7" t="s">
        <v>1151</v>
      </c>
      <c r="E14" s="7"/>
      <c r="F14" s="7" t="s">
        <v>1183</v>
      </c>
      <c r="G14" s="9" t="str">
        <f>VLOOKUP(E12,Employee_Master!A:T,4,FALSE())</f>
        <v>Manager</v>
      </c>
    </row>
    <row r="15" spans="1:7" x14ac:dyDescent="0.3">
      <c r="A15" s="6"/>
      <c r="B15" s="7"/>
      <c r="C15" s="7" t="s">
        <v>1184</v>
      </c>
      <c r="D15" s="7" t="s">
        <v>1151</v>
      </c>
      <c r="E15" s="7"/>
      <c r="F15" s="7" t="s">
        <v>1185</v>
      </c>
      <c r="G15" s="9" t="str">
        <f>VLOOKUP(E12,Employee_Master!A:T,5,FALSE())</f>
        <v>Meena</v>
      </c>
    </row>
    <row r="16" spans="1:7" x14ac:dyDescent="0.3">
      <c r="A16" s="6"/>
      <c r="B16" s="7"/>
      <c r="C16" s="7" t="s">
        <v>1186</v>
      </c>
      <c r="D16" s="7" t="s">
        <v>1151</v>
      </c>
      <c r="E16" s="7"/>
      <c r="F16" s="7" t="s">
        <v>1187</v>
      </c>
      <c r="G16" s="9" t="str">
        <f>VLOOKUP(E12,Employee_Master!A:T,6,FALSE())</f>
        <v>Pune</v>
      </c>
    </row>
    <row r="17" spans="1:7" x14ac:dyDescent="0.3">
      <c r="A17" s="6"/>
      <c r="B17" s="7"/>
      <c r="C17" s="7" t="s">
        <v>1188</v>
      </c>
      <c r="D17" s="7" t="s">
        <v>1151</v>
      </c>
      <c r="E17" s="7"/>
      <c r="F17" s="7" t="s">
        <v>1189</v>
      </c>
      <c r="G17" s="9" t="str">
        <f>VLOOKUP(E12,Employee_Master!A:T,7,FALSE())</f>
        <v>East</v>
      </c>
    </row>
    <row r="18" spans="1:7" x14ac:dyDescent="0.3">
      <c r="A18" s="6"/>
      <c r="B18" s="7"/>
      <c r="C18" s="7" t="s">
        <v>1190</v>
      </c>
      <c r="D18" s="7" t="s">
        <v>1151</v>
      </c>
      <c r="E18" s="7"/>
      <c r="F18" s="7" t="s">
        <v>1191</v>
      </c>
      <c r="G18" s="9">
        <f>VLOOKUP(E12,Employee_Master!A:T,13,FALSE())</f>
        <v>89552</v>
      </c>
    </row>
    <row r="19" spans="1:7" x14ac:dyDescent="0.3">
      <c r="A19" s="6"/>
      <c r="B19" s="7"/>
      <c r="C19" s="7" t="s">
        <v>1192</v>
      </c>
      <c r="D19" s="7" t="s">
        <v>1151</v>
      </c>
      <c r="E19" s="7"/>
      <c r="F19" s="7" t="s">
        <v>1193</v>
      </c>
      <c r="G19" s="9">
        <f>VLOOKUP(E12,Employee_Master!A:T,14,FALSE())</f>
        <v>13971</v>
      </c>
    </row>
    <row r="20" spans="1:7" x14ac:dyDescent="0.3">
      <c r="A20" s="6"/>
      <c r="B20" s="7"/>
      <c r="C20" s="7" t="s">
        <v>1194</v>
      </c>
      <c r="D20" s="7" t="s">
        <v>1151</v>
      </c>
      <c r="E20" s="7"/>
      <c r="F20" s="7" t="s">
        <v>1195</v>
      </c>
      <c r="G20" s="9">
        <f>VLOOKUP(E12,Employee_Master!A:T,15,FALSE())</f>
        <v>4.0999999999999996</v>
      </c>
    </row>
    <row r="21" spans="1:7" x14ac:dyDescent="0.3">
      <c r="A21" s="6"/>
      <c r="B21" s="7"/>
      <c r="C21" s="7" t="s">
        <v>1196</v>
      </c>
      <c r="D21" s="7" t="s">
        <v>1151</v>
      </c>
      <c r="E21" s="7"/>
      <c r="F21" s="7" t="s">
        <v>1197</v>
      </c>
      <c r="G21" s="9" t="str">
        <f>VLOOKUP(E12,Employee_Master!A:T,16,FALSE())</f>
        <v>Inactive</v>
      </c>
    </row>
    <row r="22" spans="1:7" ht="15.6" x14ac:dyDescent="0.3">
      <c r="A22" s="1" t="s">
        <v>1198</v>
      </c>
      <c r="B22" s="1"/>
      <c r="C22" s="1"/>
      <c r="D22" s="1"/>
      <c r="E22" s="1"/>
      <c r="F22" s="1"/>
      <c r="G22" s="1"/>
    </row>
    <row r="23" spans="1:7" x14ac:dyDescent="0.3">
      <c r="A23" s="10"/>
      <c r="B23" s="7" t="s">
        <v>1199</v>
      </c>
      <c r="C23" s="7" t="s">
        <v>1200</v>
      </c>
      <c r="D23" s="7" t="s">
        <v>1201</v>
      </c>
      <c r="E23" s="8" t="s">
        <v>840</v>
      </c>
      <c r="F23" s="7" t="s">
        <v>1202</v>
      </c>
      <c r="G23" s="9" t="str">
        <f>INDEX(Sales_Data!B:B,MATCH(E23,Sales_Data!A:A,0))</f>
        <v>Arjun</v>
      </c>
    </row>
    <row r="24" spans="1:7" x14ac:dyDescent="0.3">
      <c r="A24" s="10"/>
      <c r="B24" s="7" t="s">
        <v>1203</v>
      </c>
      <c r="C24" s="7" t="s">
        <v>1204</v>
      </c>
      <c r="D24" s="7" t="s">
        <v>1201</v>
      </c>
      <c r="E24" s="8" t="s">
        <v>842</v>
      </c>
      <c r="F24" s="7" t="s">
        <v>1205</v>
      </c>
      <c r="G24" s="9" t="str">
        <f>INDEX(Sales_Data!D:D,MATCH(E24,Sales_Data!C:C,0))</f>
        <v>Mobile</v>
      </c>
    </row>
    <row r="25" spans="1:7" x14ac:dyDescent="0.3">
      <c r="A25" s="10"/>
      <c r="B25" s="7" t="s">
        <v>1206</v>
      </c>
      <c r="C25" s="7" t="s">
        <v>1207</v>
      </c>
      <c r="D25" s="7" t="s">
        <v>1201</v>
      </c>
      <c r="E25" s="8" t="s">
        <v>842</v>
      </c>
      <c r="F25" s="7" t="s">
        <v>1208</v>
      </c>
      <c r="G25" s="9" t="str">
        <f>INDEX(Sales_Data!E:E,MATCH(E25,Sales_Data!C:C,0))</f>
        <v>Electronics</v>
      </c>
    </row>
    <row r="26" spans="1:7" ht="28.8" x14ac:dyDescent="0.3">
      <c r="A26" s="10"/>
      <c r="B26" s="7" t="s">
        <v>1209</v>
      </c>
      <c r="C26" s="7" t="s">
        <v>1210</v>
      </c>
      <c r="D26" s="7" t="s">
        <v>1201</v>
      </c>
      <c r="E26" s="8" t="s">
        <v>840</v>
      </c>
      <c r="F26" s="7" t="s">
        <v>1211</v>
      </c>
      <c r="G26" s="9">
        <f>INDEX(Sales_Data!K:K,MATCH(E26,Sales_Data!A:A,0))</f>
        <v>219987</v>
      </c>
    </row>
    <row r="27" spans="1:7" ht="28.8" x14ac:dyDescent="0.3">
      <c r="A27" s="10"/>
      <c r="B27" s="7" t="s">
        <v>1212</v>
      </c>
      <c r="C27" s="7" t="s">
        <v>1213</v>
      </c>
      <c r="D27" s="7" t="s">
        <v>1201</v>
      </c>
      <c r="E27" s="8" t="s">
        <v>840</v>
      </c>
      <c r="F27" s="7" t="s">
        <v>1214</v>
      </c>
      <c r="G27" s="9">
        <f>INDEX(Sales_Data!M:M,MATCH(E27,Sales_Data!A:A,0))</f>
        <v>59859</v>
      </c>
    </row>
    <row r="28" spans="1:7" ht="28.8" x14ac:dyDescent="0.3">
      <c r="A28" s="10"/>
      <c r="B28" s="7" t="s">
        <v>1215</v>
      </c>
      <c r="C28" s="7" t="s">
        <v>1216</v>
      </c>
      <c r="D28" s="7" t="s">
        <v>1201</v>
      </c>
      <c r="E28" s="8" t="s">
        <v>840</v>
      </c>
      <c r="F28" s="7" t="s">
        <v>1217</v>
      </c>
      <c r="G28" s="9" t="str">
        <f>INDEX(Sales_Data!O:O,MATCH(E28,Sales_Data!A:A,0))</f>
        <v>UPI</v>
      </c>
    </row>
    <row r="29" spans="1:7" ht="28.8" x14ac:dyDescent="0.3">
      <c r="A29" s="10"/>
      <c r="B29" s="7" t="s">
        <v>1218</v>
      </c>
      <c r="C29" s="7" t="s">
        <v>1219</v>
      </c>
      <c r="D29" s="7" t="s">
        <v>1201</v>
      </c>
      <c r="E29" s="8" t="s">
        <v>840</v>
      </c>
      <c r="F29" s="7" t="s">
        <v>1220</v>
      </c>
      <c r="G29" s="9" t="str">
        <f>INDEX(Sales_Data!P:P,MATCH(E29,Sales_Data!A:A,0))</f>
        <v>Cancelled</v>
      </c>
    </row>
    <row r="30" spans="1:7" x14ac:dyDescent="0.3">
      <c r="A30" s="10"/>
      <c r="B30" s="7" t="s">
        <v>1221</v>
      </c>
      <c r="C30" s="7" t="s">
        <v>1222</v>
      </c>
      <c r="D30" s="7" t="s">
        <v>1201</v>
      </c>
      <c r="E30" s="8" t="s">
        <v>840</v>
      </c>
      <c r="F30" s="7" t="s">
        <v>1223</v>
      </c>
      <c r="G30" s="9">
        <f>INDEX(Sales_Data!Q:Q,MATCH(E30,Sales_Data!A:A,0))</f>
        <v>4.4000000000000004</v>
      </c>
    </row>
    <row r="31" spans="1:7" ht="28.8" x14ac:dyDescent="0.3">
      <c r="A31" s="10"/>
      <c r="B31" s="7" t="s">
        <v>1224</v>
      </c>
      <c r="C31" s="7" t="s">
        <v>1225</v>
      </c>
      <c r="D31" s="7" t="s">
        <v>1226</v>
      </c>
      <c r="E31" s="8" t="s">
        <v>1227</v>
      </c>
      <c r="F31" s="7" t="s">
        <v>1228</v>
      </c>
      <c r="G31" s="9" t="str">
        <f>IFERROR(INDEX(Sales_Data!K:K,MATCH(E31,Sales_Data!A:A,0)),"Order Not Found")</f>
        <v>Order Not Found</v>
      </c>
    </row>
    <row r="32" spans="1:7" x14ac:dyDescent="0.3">
      <c r="A32" s="10"/>
      <c r="B32" s="7" t="s">
        <v>1229</v>
      </c>
      <c r="C32" s="7" t="s">
        <v>1230</v>
      </c>
      <c r="D32" s="7" t="s">
        <v>1231</v>
      </c>
      <c r="E32" s="8" t="s">
        <v>843</v>
      </c>
      <c r="F32" s="7" t="s">
        <v>1232</v>
      </c>
      <c r="G32" s="9" t="str">
        <f>INDEX(Sales_Data!C:C,MATCH(E32,Sales_Data!D:D,0))</f>
        <v>P102</v>
      </c>
    </row>
    <row r="33" spans="1:7" ht="15.6" x14ac:dyDescent="0.3">
      <c r="A33" s="1" t="s">
        <v>1233</v>
      </c>
      <c r="B33" s="1"/>
      <c r="C33" s="1"/>
      <c r="D33" s="1"/>
      <c r="E33" s="1"/>
      <c r="F33" s="1"/>
      <c r="G33" s="1"/>
    </row>
    <row r="34" spans="1:7" ht="28.8" x14ac:dyDescent="0.3">
      <c r="A34" s="11"/>
      <c r="B34" s="7" t="s">
        <v>1234</v>
      </c>
      <c r="C34" s="7" t="s">
        <v>1169</v>
      </c>
      <c r="D34" s="7" t="s">
        <v>1235</v>
      </c>
      <c r="E34" s="8" t="s">
        <v>46</v>
      </c>
      <c r="F34" s="7" t="s">
        <v>1236</v>
      </c>
      <c r="G34" s="9">
        <f>INDEX(Employee_Master!M:M,MATCH(E34,Employee_Master!A:A,0))</f>
        <v>70461</v>
      </c>
    </row>
    <row r="35" spans="1:7" ht="28.8" x14ac:dyDescent="0.3">
      <c r="A35" s="11"/>
      <c r="B35" s="7" t="s">
        <v>1237</v>
      </c>
      <c r="C35" s="7" t="s">
        <v>1154</v>
      </c>
      <c r="D35" s="7" t="s">
        <v>1235</v>
      </c>
      <c r="E35" s="8" t="s">
        <v>46</v>
      </c>
      <c r="F35" s="7" t="s">
        <v>1238</v>
      </c>
      <c r="G35" s="9" t="str">
        <f>INDEX(Employee_Master!C:C,MATCH(E35,Employee_Master!A:A,0))</f>
        <v>IT</v>
      </c>
    </row>
    <row r="36" spans="1:7" ht="28.8" x14ac:dyDescent="0.3">
      <c r="A36" s="11"/>
      <c r="B36" s="7" t="s">
        <v>1239</v>
      </c>
      <c r="C36" s="7" t="s">
        <v>1160</v>
      </c>
      <c r="D36" s="7" t="s">
        <v>1235</v>
      </c>
      <c r="E36" s="8" t="s">
        <v>46</v>
      </c>
      <c r="F36" s="7" t="s">
        <v>1240</v>
      </c>
      <c r="G36" s="9" t="str">
        <f>INDEX(Employee_Master!E:E,MATCH(E36,Employee_Master!A:A,0))</f>
        <v>Rajesh</v>
      </c>
    </row>
    <row r="37" spans="1:7" ht="28.8" x14ac:dyDescent="0.3">
      <c r="A37" s="11"/>
      <c r="B37" s="7" t="s">
        <v>1241</v>
      </c>
      <c r="C37" s="7" t="s">
        <v>1163</v>
      </c>
      <c r="D37" s="7" t="s">
        <v>1235</v>
      </c>
      <c r="E37" s="8" t="s">
        <v>46</v>
      </c>
      <c r="F37" s="7" t="s">
        <v>1242</v>
      </c>
      <c r="G37" s="9" t="str">
        <f>INDEX(Employee_Master!F:F,MATCH(E37,Employee_Master!A:A,0))</f>
        <v>Hyderabad</v>
      </c>
    </row>
    <row r="38" spans="1:7" ht="28.8" x14ac:dyDescent="0.3">
      <c r="A38" s="11"/>
      <c r="B38" s="7" t="s">
        <v>1243</v>
      </c>
      <c r="C38" s="7" t="s">
        <v>1172</v>
      </c>
      <c r="D38" s="7" t="s">
        <v>1235</v>
      </c>
      <c r="E38" s="8" t="s">
        <v>46</v>
      </c>
      <c r="F38" s="7" t="s">
        <v>1244</v>
      </c>
      <c r="G38" s="9">
        <f>INDEX(Employee_Master!N:N,MATCH(E38,Employee_Master!A:A,0))</f>
        <v>10296</v>
      </c>
    </row>
    <row r="39" spans="1:7" ht="28.8" x14ac:dyDescent="0.3">
      <c r="A39" s="11"/>
      <c r="B39" s="7" t="s">
        <v>1245</v>
      </c>
      <c r="C39" s="7" t="s">
        <v>1175</v>
      </c>
      <c r="D39" s="7" t="s">
        <v>1235</v>
      </c>
      <c r="E39" s="8" t="s">
        <v>46</v>
      </c>
      <c r="F39" s="7" t="s">
        <v>1246</v>
      </c>
      <c r="G39" s="9">
        <f>INDEX(Employee_Master!O:O,MATCH(E39,Employee_Master!A:A,0))</f>
        <v>4.5</v>
      </c>
    </row>
    <row r="40" spans="1:7" ht="28.8" x14ac:dyDescent="0.3">
      <c r="A40" s="11"/>
      <c r="B40" s="7" t="s">
        <v>1247</v>
      </c>
      <c r="C40" s="7" t="s">
        <v>1248</v>
      </c>
      <c r="D40" s="7" t="s">
        <v>1235</v>
      </c>
      <c r="E40" s="8" t="s">
        <v>46</v>
      </c>
      <c r="F40" s="7" t="s">
        <v>1249</v>
      </c>
      <c r="G40" s="9">
        <f>INDEX(Employee_Master!L:L,MATCH(E40,Employee_Master!A:A,0))</f>
        <v>1</v>
      </c>
    </row>
    <row r="41" spans="1:7" ht="28.8" x14ac:dyDescent="0.3">
      <c r="A41" s="11"/>
      <c r="B41" s="7" t="s">
        <v>1250</v>
      </c>
      <c r="C41" s="7" t="s">
        <v>1251</v>
      </c>
      <c r="D41" s="7" t="s">
        <v>1235</v>
      </c>
      <c r="E41" s="8" t="s">
        <v>46</v>
      </c>
      <c r="F41" s="7" t="s">
        <v>1252</v>
      </c>
      <c r="G41" s="9" t="str">
        <f>INDEX(Employee_Master!Q:Q,MATCH(E41,Employee_Master!A:A,0))</f>
        <v>General</v>
      </c>
    </row>
    <row r="42" spans="1:7" ht="28.8" x14ac:dyDescent="0.3">
      <c r="A42" s="11"/>
      <c r="B42" s="7" t="s">
        <v>1253</v>
      </c>
      <c r="C42" s="7" t="s">
        <v>1254</v>
      </c>
      <c r="D42" s="7" t="s">
        <v>1235</v>
      </c>
      <c r="E42" s="8" t="s">
        <v>46</v>
      </c>
      <c r="F42" s="7" t="s">
        <v>1255</v>
      </c>
      <c r="G42" s="9" t="str">
        <f>INDEX(Employee_Master!S:S,MATCH(E42,Employee_Master!A:A,0))</f>
        <v>neha3@company.com</v>
      </c>
    </row>
    <row r="43" spans="1:7" ht="28.8" x14ac:dyDescent="0.3">
      <c r="A43" s="11"/>
      <c r="B43" s="7" t="s">
        <v>1256</v>
      </c>
      <c r="C43" s="7" t="s">
        <v>1257</v>
      </c>
      <c r="D43" s="7" t="s">
        <v>1258</v>
      </c>
      <c r="E43" s="8" t="s">
        <v>1259</v>
      </c>
      <c r="F43" s="7" t="s">
        <v>1260</v>
      </c>
      <c r="G43" s="9" t="str">
        <f>IFERROR(INDEX(Employee_Master!B:B,MATCH(E43,Employee_Master!A:A,0)),"Employee Not Found")</f>
        <v>Employee Not Found</v>
      </c>
    </row>
    <row r="44" spans="1:7" ht="15.6" x14ac:dyDescent="0.3">
      <c r="A44" s="1" t="s">
        <v>1261</v>
      </c>
      <c r="B44" s="1"/>
      <c r="C44" s="1"/>
      <c r="D44" s="1"/>
      <c r="E44" s="1"/>
      <c r="F44" s="1"/>
      <c r="G44" s="1"/>
    </row>
    <row r="45" spans="1:7" ht="28.8" x14ac:dyDescent="0.3">
      <c r="A45" s="12"/>
      <c r="B45" s="7" t="s">
        <v>1262</v>
      </c>
      <c r="C45" s="7" t="s">
        <v>1263</v>
      </c>
      <c r="D45" s="7" t="s">
        <v>1264</v>
      </c>
      <c r="E45" s="8" t="s">
        <v>1128</v>
      </c>
      <c r="F45" s="7" t="s">
        <v>1265</v>
      </c>
      <c r="G45" s="9">
        <f>HLOOKUP(E45,Helper_Data!A3:M4,2,FALSE())</f>
        <v>185000</v>
      </c>
    </row>
    <row r="46" spans="1:7" ht="28.8" x14ac:dyDescent="0.3">
      <c r="A46" s="12"/>
      <c r="B46" s="7" t="s">
        <v>1266</v>
      </c>
      <c r="C46" s="7" t="s">
        <v>1267</v>
      </c>
      <c r="D46" s="7" t="s">
        <v>1264</v>
      </c>
      <c r="E46" s="8" t="s">
        <v>1130</v>
      </c>
      <c r="F46" s="7" t="s">
        <v>1268</v>
      </c>
      <c r="G46" s="9">
        <f>HLOOKUP(E46,Helper_Data!A3:M4,2,FALSE())</f>
        <v>204000</v>
      </c>
    </row>
    <row r="47" spans="1:7" ht="28.8" x14ac:dyDescent="0.3">
      <c r="A47" s="12"/>
      <c r="B47" s="7" t="s">
        <v>1269</v>
      </c>
      <c r="C47" s="7" t="s">
        <v>1270</v>
      </c>
      <c r="D47" s="7" t="s">
        <v>1271</v>
      </c>
      <c r="E47" s="8" t="s">
        <v>74</v>
      </c>
      <c r="F47" s="7" t="s">
        <v>1272</v>
      </c>
      <c r="G47" s="9" t="str">
        <f>LOOKUP(E47,Employee_Master!A:A,Employee_Master!B:B)</f>
        <v>Pooja</v>
      </c>
    </row>
    <row r="48" spans="1:7" ht="28.8" x14ac:dyDescent="0.3">
      <c r="A48" s="12"/>
      <c r="B48" s="7" t="s">
        <v>1273</v>
      </c>
      <c r="C48" s="7" t="s">
        <v>1274</v>
      </c>
      <c r="D48" s="7" t="s">
        <v>1271</v>
      </c>
      <c r="E48" s="8" t="s">
        <v>74</v>
      </c>
      <c r="F48" s="7" t="s">
        <v>1275</v>
      </c>
      <c r="G48" s="9">
        <f>LOOKUP(E48,Employee_Master!A:A,Employee_Master!M:M)</f>
        <v>76889</v>
      </c>
    </row>
    <row r="49" spans="1:7" ht="26.4" x14ac:dyDescent="0.3">
      <c r="A49" s="12"/>
      <c r="B49" s="7" t="s">
        <v>1276</v>
      </c>
      <c r="C49" s="13" t="s">
        <v>1277</v>
      </c>
      <c r="D49" s="7" t="s">
        <v>1278</v>
      </c>
      <c r="E49" s="7"/>
      <c r="F49" s="7" t="s">
        <v>1279</v>
      </c>
      <c r="G49" s="7" t="e">
        <f>TRANSPOSE(Employee_Master!B2:B11)</f>
        <v>#VALUE!</v>
      </c>
    </row>
    <row r="50" spans="1:7" ht="26.4" x14ac:dyDescent="0.3">
      <c r="A50" s="12"/>
      <c r="B50" s="7" t="s">
        <v>1280</v>
      </c>
      <c r="C50" s="13" t="s">
        <v>1281</v>
      </c>
      <c r="D50" s="7" t="s">
        <v>1278</v>
      </c>
      <c r="E50" s="7"/>
      <c r="F50" s="7" t="s">
        <v>1282</v>
      </c>
      <c r="G50" s="7" t="str">
        <f>TRANSPOSE(Helper_Data!B8:G8)</f>
        <v>P106</v>
      </c>
    </row>
    <row r="51" spans="1:7" x14ac:dyDescent="0.3">
      <c r="A51" s="12"/>
      <c r="B51" s="7" t="s">
        <v>1283</v>
      </c>
      <c r="C51" s="13" t="s">
        <v>1284</v>
      </c>
      <c r="D51" s="7" t="s">
        <v>1278</v>
      </c>
      <c r="E51" s="7"/>
      <c r="F51" s="7" t="s">
        <v>1285</v>
      </c>
      <c r="G51" s="7" t="e">
        <f>TRANSPOSE(Employee_Master!A2:A11)</f>
        <v>#VALUE!</v>
      </c>
    </row>
    <row r="52" spans="1:7" x14ac:dyDescent="0.3">
      <c r="A52" s="12"/>
      <c r="B52" s="7" t="s">
        <v>1286</v>
      </c>
      <c r="C52" s="13" t="s">
        <v>1287</v>
      </c>
      <c r="D52" s="7" t="s">
        <v>1278</v>
      </c>
      <c r="E52" s="7"/>
      <c r="F52" s="7" t="s">
        <v>1288</v>
      </c>
      <c r="G52" s="7" t="e">
        <f>TRANSPOSE(Sales_Data!C2:C11)</f>
        <v>#VALUE!</v>
      </c>
    </row>
    <row r="53" spans="1:7" x14ac:dyDescent="0.3">
      <c r="A53" s="12"/>
      <c r="B53" s="7" t="s">
        <v>1289</v>
      </c>
      <c r="C53" s="13" t="s">
        <v>1290</v>
      </c>
      <c r="D53" s="7" t="s">
        <v>1278</v>
      </c>
      <c r="E53" s="7"/>
      <c r="F53" s="7" t="s">
        <v>1291</v>
      </c>
      <c r="G53" s="7" t="e">
        <f>TRANSPOSE(Sales_Data!A2:A11)</f>
        <v>#VALUE!</v>
      </c>
    </row>
    <row r="54" spans="1:7" x14ac:dyDescent="0.3">
      <c r="A54" s="12"/>
      <c r="B54" s="7" t="s">
        <v>1292</v>
      </c>
      <c r="C54" s="13" t="s">
        <v>1293</v>
      </c>
      <c r="D54" s="7" t="s">
        <v>1278</v>
      </c>
      <c r="E54" s="7"/>
      <c r="F54" s="7" t="s">
        <v>1294</v>
      </c>
      <c r="G54" s="7" t="e">
        <f>TRANSPOSE(Employee_Master!F2:F11)</f>
        <v>#VALUE!</v>
      </c>
    </row>
    <row r="55" spans="1:7" ht="15.6" x14ac:dyDescent="0.3">
      <c r="A55" s="1" t="s">
        <v>1295</v>
      </c>
      <c r="B55" s="1"/>
      <c r="C55" s="1"/>
      <c r="D55" s="1"/>
      <c r="E55" s="1"/>
      <c r="F55" s="1"/>
      <c r="G55" s="1"/>
    </row>
    <row r="56" spans="1:7" ht="28.8" x14ac:dyDescent="0.3">
      <c r="A56" s="14"/>
      <c r="B56" s="7" t="s">
        <v>1296</v>
      </c>
      <c r="C56" s="7" t="s">
        <v>1297</v>
      </c>
      <c r="D56" s="7" t="s">
        <v>1298</v>
      </c>
      <c r="E56" s="8" t="s">
        <v>89</v>
      </c>
      <c r="F56" s="7" t="s">
        <v>1299</v>
      </c>
      <c r="G56" s="9">
        <f>ROW(INDEX(Employee_Master!A:A,MATCH(E56,Employee_Master!A:A,0)))</f>
        <v>11</v>
      </c>
    </row>
    <row r="57" spans="1:7" x14ac:dyDescent="0.3">
      <c r="A57" s="14"/>
      <c r="B57" s="7" t="s">
        <v>1300</v>
      </c>
      <c r="C57" s="13" t="s">
        <v>1301</v>
      </c>
      <c r="D57" s="7" t="s">
        <v>1302</v>
      </c>
      <c r="E57" s="7"/>
      <c r="F57" s="7" t="s">
        <v>1303</v>
      </c>
      <c r="G57" s="7">
        <f>COLUMN(Employee_Master!M1)</f>
        <v>13</v>
      </c>
    </row>
    <row r="58" spans="1:7" ht="26.4" x14ac:dyDescent="0.3">
      <c r="A58" s="14"/>
      <c r="B58" s="7" t="s">
        <v>1304</v>
      </c>
      <c r="C58" s="13" t="s">
        <v>1305</v>
      </c>
      <c r="D58" s="7" t="s">
        <v>1306</v>
      </c>
      <c r="E58" s="7"/>
      <c r="F58" s="7" t="s">
        <v>1307</v>
      </c>
      <c r="G58" s="7">
        <f>ROWS(Employee_Master!A2:A251)</f>
        <v>250</v>
      </c>
    </row>
    <row r="59" spans="1:7" ht="26.4" x14ac:dyDescent="0.3">
      <c r="A59" s="14"/>
      <c r="B59" s="7" t="s">
        <v>1308</v>
      </c>
      <c r="C59" s="13" t="s">
        <v>1309</v>
      </c>
      <c r="D59" s="7" t="s">
        <v>1310</v>
      </c>
      <c r="E59" s="7"/>
      <c r="F59" s="7" t="s">
        <v>1311</v>
      </c>
      <c r="G59" s="7">
        <f>COLUMNS(Sales_Data!A1:R1)</f>
        <v>18</v>
      </c>
    </row>
    <row r="60" spans="1:7" ht="28.8" x14ac:dyDescent="0.3">
      <c r="A60" s="14"/>
      <c r="B60" s="7" t="s">
        <v>1312</v>
      </c>
      <c r="C60" s="7" t="s">
        <v>1313</v>
      </c>
      <c r="D60" s="7" t="s">
        <v>1314</v>
      </c>
      <c r="E60" s="8" t="s">
        <v>1259</v>
      </c>
      <c r="F60" s="7" t="s">
        <v>1315</v>
      </c>
      <c r="G60" s="9" t="str">
        <f>IFERROR(VLOOKUP(E60,Employee_Master!A:T,2,FALSE()),"Not Found")</f>
        <v>Not Found</v>
      </c>
    </row>
    <row r="61" spans="1:7" ht="28.8" x14ac:dyDescent="0.3">
      <c r="A61" s="14"/>
      <c r="B61" s="7" t="s">
        <v>1316</v>
      </c>
      <c r="C61" s="7" t="s">
        <v>1317</v>
      </c>
      <c r="D61" s="7" t="s">
        <v>1318</v>
      </c>
      <c r="E61" s="8" t="s">
        <v>1227</v>
      </c>
      <c r="F61" s="7" t="s">
        <v>1319</v>
      </c>
      <c r="G61" s="9" t="str">
        <f>IFERROR(INDEX(Sales_Data!B:B,MATCH(E61,Sales_Data!A:A,0)),"Not Found")</f>
        <v>Not Found</v>
      </c>
    </row>
    <row r="62" spans="1:7" ht="28.8" x14ac:dyDescent="0.3">
      <c r="A62" s="14"/>
      <c r="B62" s="7" t="s">
        <v>1320</v>
      </c>
      <c r="C62" s="7" t="s">
        <v>1321</v>
      </c>
      <c r="D62" s="7" t="s">
        <v>1322</v>
      </c>
      <c r="E62" s="8" t="s">
        <v>1259</v>
      </c>
      <c r="F62" s="7" t="s">
        <v>1323</v>
      </c>
      <c r="G62" s="9" t="str">
        <f>IFERROR(INDEX(Employee_Master!C:C,MATCH(E62,Employee_Master!A:A,0)),"Not Found")</f>
        <v>Not Found</v>
      </c>
    </row>
    <row r="63" spans="1:7" ht="28.8" x14ac:dyDescent="0.3">
      <c r="A63" s="14"/>
      <c r="B63" s="7" t="s">
        <v>1324</v>
      </c>
      <c r="C63" s="7" t="s">
        <v>1325</v>
      </c>
      <c r="D63" s="7" t="s">
        <v>1318</v>
      </c>
      <c r="E63" s="8" t="s">
        <v>1326</v>
      </c>
      <c r="F63" s="7" t="s">
        <v>1327</v>
      </c>
      <c r="G63" s="9" t="str">
        <f>IFERROR(INDEX(Sales_Data!D:D,MATCH(E63,Sales_Data!C:C,0)),"No Data Available")</f>
        <v>No Data Available</v>
      </c>
    </row>
    <row r="64" spans="1:7" ht="28.8" x14ac:dyDescent="0.3">
      <c r="A64" s="14"/>
      <c r="B64" s="7" t="s">
        <v>1328</v>
      </c>
      <c r="C64" s="7" t="s">
        <v>1329</v>
      </c>
      <c r="D64" s="7" t="s">
        <v>1318</v>
      </c>
      <c r="E64" s="8" t="s">
        <v>1227</v>
      </c>
      <c r="F64" s="7" t="s">
        <v>1330</v>
      </c>
      <c r="G64" s="9" t="str">
        <f>IFERROR(INDEX(Sales_Data!B:B,MATCH(E64,Sales_Data!A:A,0)),"Customer Not Found")</f>
        <v>Customer Not Found</v>
      </c>
    </row>
    <row r="65" spans="1:7" ht="28.8" x14ac:dyDescent="0.3">
      <c r="A65" s="14"/>
      <c r="B65" s="7" t="s">
        <v>1331</v>
      </c>
      <c r="C65" s="7" t="s">
        <v>1332</v>
      </c>
      <c r="D65" s="7" t="s">
        <v>1201</v>
      </c>
      <c r="E65" s="8" t="s">
        <v>108</v>
      </c>
      <c r="F65" s="7" t="s">
        <v>1333</v>
      </c>
      <c r="G65" s="9" t="str">
        <f>IFERROR(INDEX(Employee_Master!B:B,MATCH(E65,Employee_Master!A:A,0)),"Employee Not Found")</f>
        <v>Riya</v>
      </c>
    </row>
    <row r="66" spans="1:7" ht="28.8" x14ac:dyDescent="0.3">
      <c r="A66" s="14"/>
      <c r="B66" s="7"/>
      <c r="C66" s="7" t="s">
        <v>1180</v>
      </c>
      <c r="D66" s="7" t="s">
        <v>1201</v>
      </c>
      <c r="E66" s="7"/>
      <c r="F66" s="7" t="s">
        <v>1334</v>
      </c>
      <c r="G66" s="9" t="str">
        <f>IFERROR(INDEX(Employee_Master!C:C,MATCH(E65,Employee_Master!A:A,0)),"Employee Not Found")</f>
        <v>Sales</v>
      </c>
    </row>
    <row r="67" spans="1:7" ht="28.8" x14ac:dyDescent="0.3">
      <c r="A67" s="14"/>
      <c r="B67" s="7"/>
      <c r="C67" s="7" t="s">
        <v>1182</v>
      </c>
      <c r="D67" s="7" t="s">
        <v>1201</v>
      </c>
      <c r="E67" s="7"/>
      <c r="F67" s="7" t="s">
        <v>1335</v>
      </c>
      <c r="G67" s="9" t="str">
        <f>IFERROR(INDEX(Employee_Master!D:D,MATCH(E65,Employee_Master!A:A,0)),"Employee Not Found")</f>
        <v>Senior Analyst</v>
      </c>
    </row>
    <row r="68" spans="1:7" ht="28.8" x14ac:dyDescent="0.3">
      <c r="A68" s="14"/>
      <c r="B68" s="7"/>
      <c r="C68" s="7" t="s">
        <v>1184</v>
      </c>
      <c r="D68" s="7" t="s">
        <v>1201</v>
      </c>
      <c r="E68" s="7"/>
      <c r="F68" s="7" t="s">
        <v>1336</v>
      </c>
      <c r="G68" s="9" t="str">
        <f>IFERROR(INDEX(Employee_Master!E:E,MATCH(E65,Employee_Master!A:A,0)),"Employee Not Found")</f>
        <v>Meena</v>
      </c>
    </row>
    <row r="69" spans="1:7" ht="28.8" x14ac:dyDescent="0.3">
      <c r="A69" s="14"/>
      <c r="B69" s="7"/>
      <c r="C69" s="7" t="s">
        <v>1186</v>
      </c>
      <c r="D69" s="7" t="s">
        <v>1201</v>
      </c>
      <c r="E69" s="7"/>
      <c r="F69" s="7" t="s">
        <v>1337</v>
      </c>
      <c r="G69" s="9" t="str">
        <f>IFERROR(INDEX(Employee_Master!F:F,MATCH(E65,Employee_Master!A:A,0)),"Employee Not Found")</f>
        <v>Mumbai</v>
      </c>
    </row>
    <row r="70" spans="1:7" ht="28.8" x14ac:dyDescent="0.3">
      <c r="A70" s="14"/>
      <c r="B70" s="7"/>
      <c r="C70" s="7" t="s">
        <v>1188</v>
      </c>
      <c r="D70" s="7" t="s">
        <v>1201</v>
      </c>
      <c r="E70" s="7"/>
      <c r="F70" s="7" t="s">
        <v>1338</v>
      </c>
      <c r="G70" s="9" t="str">
        <f>IFERROR(INDEX(Employee_Master!G:G,MATCH(E65,Employee_Master!A:A,0)),"Employee Not Found")</f>
        <v>North</v>
      </c>
    </row>
    <row r="71" spans="1:7" ht="28.8" x14ac:dyDescent="0.3">
      <c r="A71" s="14"/>
      <c r="B71" s="7"/>
      <c r="C71" s="7" t="s">
        <v>1190</v>
      </c>
      <c r="D71" s="7" t="s">
        <v>1201</v>
      </c>
      <c r="E71" s="7"/>
      <c r="F71" s="7" t="s">
        <v>1339</v>
      </c>
      <c r="G71" s="9">
        <f>IFERROR(INDEX(Employee_Master!M:M,MATCH(E65,Employee_Master!A:A,0)),"Employee Not Found")</f>
        <v>84436</v>
      </c>
    </row>
    <row r="72" spans="1:7" ht="28.8" x14ac:dyDescent="0.3">
      <c r="A72" s="14"/>
      <c r="B72" s="7"/>
      <c r="C72" s="7" t="s">
        <v>1192</v>
      </c>
      <c r="D72" s="7" t="s">
        <v>1201</v>
      </c>
      <c r="E72" s="7"/>
      <c r="F72" s="7" t="s">
        <v>1340</v>
      </c>
      <c r="G72" s="9">
        <f>IFERROR(INDEX(Employee_Master!N:N,MATCH(E65,Employee_Master!A:A,0)),"Employee Not Found")</f>
        <v>9572</v>
      </c>
    </row>
    <row r="73" spans="1:7" ht="28.8" x14ac:dyDescent="0.3">
      <c r="A73" s="14"/>
      <c r="B73" s="7"/>
      <c r="C73" s="7" t="s">
        <v>1194</v>
      </c>
      <c r="D73" s="7" t="s">
        <v>1201</v>
      </c>
      <c r="E73" s="7"/>
      <c r="F73" s="7" t="s">
        <v>1341</v>
      </c>
      <c r="G73" s="9">
        <f>IFERROR(INDEX(Employee_Master!O:O,MATCH(E65,Employee_Master!A:A,0)),"Employee Not Found")</f>
        <v>4.0999999999999996</v>
      </c>
    </row>
    <row r="74" spans="1:7" ht="28.8" x14ac:dyDescent="0.3">
      <c r="A74" s="14"/>
      <c r="B74" s="7"/>
      <c r="C74" s="7" t="s">
        <v>1196</v>
      </c>
      <c r="D74" s="7" t="s">
        <v>1201</v>
      </c>
      <c r="E74" s="7"/>
      <c r="F74" s="7" t="s">
        <v>1342</v>
      </c>
      <c r="G74" s="9" t="str">
        <f>IFERROR(INDEX(Employee_Master!P:P,MATCH(E65,Employee_Master!A:A,0)),"Employee Not Found")</f>
        <v>Inactive</v>
      </c>
    </row>
    <row r="75" spans="1:7" ht="28.8" x14ac:dyDescent="0.3">
      <c r="A75" s="14"/>
      <c r="B75" s="7"/>
      <c r="C75" s="7" t="s">
        <v>1343</v>
      </c>
      <c r="D75" s="7" t="s">
        <v>1201</v>
      </c>
      <c r="E75" s="7"/>
      <c r="F75" s="7" t="s">
        <v>1344</v>
      </c>
      <c r="G75" s="9" t="str">
        <f>IFERROR(INDEX(Employee_Master!Q:Q,MATCH(E65,Employee_Master!A:A,0)),"Employee Not Found")</f>
        <v>Evening</v>
      </c>
    </row>
    <row r="76" spans="1:7" ht="28.8" x14ac:dyDescent="0.3">
      <c r="A76" s="14"/>
      <c r="B76" s="7"/>
      <c r="C76" s="7" t="s">
        <v>1345</v>
      </c>
      <c r="D76" s="7" t="s">
        <v>1201</v>
      </c>
      <c r="E76" s="7"/>
      <c r="F76" s="7" t="s">
        <v>1346</v>
      </c>
      <c r="G76" s="9" t="str">
        <f>IFERROR(INDEX(Employee_Master!S:S,MATCH(E65,Employee_Master!A:A,0)),"Employee Not Found")</f>
        <v>riya15@company.com</v>
      </c>
    </row>
    <row r="77" spans="1:7" ht="28.8" x14ac:dyDescent="0.3">
      <c r="A77" s="14"/>
      <c r="B77" s="7"/>
      <c r="C77" s="7" t="s">
        <v>1347</v>
      </c>
      <c r="D77" s="7" t="s">
        <v>1201</v>
      </c>
      <c r="E77" s="7"/>
      <c r="F77" s="7" t="s">
        <v>1348</v>
      </c>
      <c r="G77" s="9" t="str">
        <f>IFERROR(INDEX(Employee_Master!T:T,MATCH(E65,Employee_Master!A:A,0)),"Employee Not Found")</f>
        <v>9853844098</v>
      </c>
    </row>
  </sheetData>
  <mergeCells count="5">
    <mergeCell ref="A2:G2"/>
    <mergeCell ref="A22:G22"/>
    <mergeCell ref="A33:G33"/>
    <mergeCell ref="A44:G44"/>
    <mergeCell ref="A55:G5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Employee_Master</vt:lpstr>
      <vt:lpstr>Sales_Data</vt:lpstr>
      <vt:lpstr>Helper_Data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Madanmohan Tiwari</cp:lastModifiedBy>
  <cp:revision>0</cp:revision>
  <dcterms:created xsi:type="dcterms:W3CDTF">2026-07-05T20:20:30Z</dcterms:created>
  <dcterms:modified xsi:type="dcterms:W3CDTF">2026-07-05T20:26:29Z</dcterms:modified>
  <dc:language>en-US</dc:language>
</cp:coreProperties>
</file>