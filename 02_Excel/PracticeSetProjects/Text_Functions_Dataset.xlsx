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dan\Downloads\"/>
    </mc:Choice>
  </mc:AlternateContent>
  <xr:revisionPtr revIDLastSave="0" documentId="13_ncr:1_{F8153897-B250-4406-A58E-0F43EB6D775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mployee_Text_Data" sheetId="1" r:id="rId1"/>
    <sheet name="Sol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7" i="2" l="1"/>
  <c r="G56" i="2"/>
  <c r="G55" i="2"/>
  <c r="G54" i="2"/>
  <c r="G53" i="2"/>
  <c r="G52" i="2"/>
  <c r="G51" i="2"/>
  <c r="G50" i="2"/>
  <c r="G48" i="2"/>
  <c r="G47" i="2"/>
  <c r="G46" i="2"/>
  <c r="G45" i="2"/>
  <c r="G44" i="2"/>
  <c r="G43" i="2"/>
  <c r="G42" i="2"/>
  <c r="G41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1" i="2"/>
  <c r="G20" i="2"/>
  <c r="G19" i="2"/>
  <c r="G18" i="2"/>
  <c r="G17" i="2"/>
  <c r="G16" i="2"/>
  <c r="G15" i="2"/>
  <c r="G14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<sst xmlns="http://schemas.openxmlformats.org/spreadsheetml/2006/main" count="5282" uniqueCount="1938">
  <si>
    <t>Employee_ID</t>
  </si>
  <si>
    <t>Employee_Name</t>
  </si>
  <si>
    <t>First_Name</t>
  </si>
  <si>
    <t>Last_Name</t>
  </si>
  <si>
    <t>Email</t>
  </si>
  <si>
    <t>Phone</t>
  </si>
  <si>
    <t>Address</t>
  </si>
  <si>
    <t>City</t>
  </si>
  <si>
    <t>State</t>
  </si>
  <si>
    <t>Country</t>
  </si>
  <si>
    <t>Department</t>
  </si>
  <si>
    <t>Designation</t>
  </si>
  <si>
    <t>Branch</t>
  </si>
  <si>
    <t>Customer_Name</t>
  </si>
  <si>
    <t>Product_Name</t>
  </si>
  <si>
    <t>Category</t>
  </si>
  <si>
    <t>PAN_Number</t>
  </si>
  <si>
    <t>Aadhaar_Number</t>
  </si>
  <si>
    <t>Status</t>
  </si>
  <si>
    <t>Remarks</t>
  </si>
  <si>
    <t>EMP0001</t>
  </si>
  <si>
    <t>Rohit Jain</t>
  </si>
  <si>
    <t>Rohit</t>
  </si>
  <si>
    <t>Jain</t>
  </si>
  <si>
    <t>rohit.jain1@company.com</t>
  </si>
  <si>
    <t>9860602579</t>
  </si>
  <si>
    <t>House 350, Sector 9, Bengaluru, India</t>
  </si>
  <si>
    <t>Bengaluru</t>
  </si>
  <si>
    <t>Karnataka</t>
  </si>
  <si>
    <t>India</t>
  </si>
  <si>
    <t>Finance</t>
  </si>
  <si>
    <t>Manager</t>
  </si>
  <si>
    <t>South Hub</t>
  </si>
  <si>
    <t>Pooja Yadav</t>
  </si>
  <si>
    <t>Tablet</t>
  </si>
  <si>
    <t>Electronics</t>
  </si>
  <si>
    <t>ABCDE2944F</t>
  </si>
  <si>
    <t>217590336009</t>
  </si>
  <si>
    <t>Active</t>
  </si>
  <si>
    <t xml:space="preserve"> Active Employee </t>
  </si>
  <si>
    <t>EMP0002</t>
  </si>
  <si>
    <t>Neha Jain</t>
  </si>
  <si>
    <t>Neha</t>
  </si>
  <si>
    <t>neha.jain2@company.com</t>
  </si>
  <si>
    <t>9871804690</t>
  </si>
  <si>
    <t>House 345, Sector 16, Jaipur</t>
  </si>
  <si>
    <t>Jaipur</t>
  </si>
  <si>
    <t>Maharashtra</t>
  </si>
  <si>
    <t>Analyst</t>
  </si>
  <si>
    <t>Saurabh Patel</t>
  </si>
  <si>
    <t>Mobile</t>
  </si>
  <si>
    <t>ABCDE1679F</t>
  </si>
  <si>
    <t>949055136975</t>
  </si>
  <si>
    <t>Inactive</t>
  </si>
  <si>
    <t>EMP0003</t>
  </si>
  <si>
    <t>Pooja Jain</t>
  </si>
  <si>
    <t>Pooja</t>
  </si>
  <si>
    <t>pooja.jain3@company.com</t>
  </si>
  <si>
    <t>9854340096</t>
  </si>
  <si>
    <t>House 719, Sector 49, Pune</t>
  </si>
  <si>
    <t>Pune</t>
  </si>
  <si>
    <t>Operations</t>
  </si>
  <si>
    <t>Executive</t>
  </si>
  <si>
    <t>East Hub</t>
  </si>
  <si>
    <t>Rahul Sharma</t>
  </si>
  <si>
    <t>Printer</t>
  </si>
  <si>
    <t>ABCDE9455F</t>
  </si>
  <si>
    <t>665802038075</t>
  </si>
  <si>
    <t xml:space="preserve"> Promotion Due </t>
  </si>
  <si>
    <t>EMP0004</t>
  </si>
  <si>
    <t>Ankit Singh</t>
  </si>
  <si>
    <t>Ankit</t>
  </si>
  <si>
    <t>Singh</t>
  </si>
  <si>
    <t>ankit.singh4@company.com</t>
  </si>
  <si>
    <t>9860357380</t>
  </si>
  <si>
    <t>House 607, Sector 40, Patna</t>
  </si>
  <si>
    <t>Patna</t>
  </si>
  <si>
    <t>Kavita Singh</t>
  </si>
  <si>
    <t>ABCDE4514F</t>
  </si>
  <si>
    <t>575234979554</t>
  </si>
  <si>
    <t xml:space="preserve">   On Leave</t>
  </si>
  <si>
    <t>EMP0005</t>
  </si>
  <si>
    <t>Kavita Yadav</t>
  </si>
  <si>
    <t>Kavita</t>
  </si>
  <si>
    <t>Yadav</t>
  </si>
  <si>
    <t>kavita.yadav5@company.com</t>
  </si>
  <si>
    <t>9854893352</t>
  </si>
  <si>
    <t>House 861, Sector 22, Bengaluru</t>
  </si>
  <si>
    <t>Delhi</t>
  </si>
  <si>
    <t>HR</t>
  </si>
  <si>
    <t>West Hub</t>
  </si>
  <si>
    <t>Riya Sharma</t>
  </si>
  <si>
    <t>Monitor</t>
  </si>
  <si>
    <t>ABCDE1991F</t>
  </si>
  <si>
    <t>561980723607</t>
  </si>
  <si>
    <t>EMP0006</t>
  </si>
  <si>
    <t>Rahul Mishra</t>
  </si>
  <si>
    <t>Rahul</t>
  </si>
  <si>
    <t>Mishra</t>
  </si>
  <si>
    <t>rahul.mishra6@company.com</t>
  </si>
  <si>
    <t>9844999584</t>
  </si>
  <si>
    <t>House 898, Sector 4, Pune</t>
  </si>
  <si>
    <t>Telangana</t>
  </si>
  <si>
    <t>Sales</t>
  </si>
  <si>
    <t>Associate</t>
  </si>
  <si>
    <t>Nisha Mishra</t>
  </si>
  <si>
    <t>Keyboard</t>
  </si>
  <si>
    <t>Accessories</t>
  </si>
  <si>
    <t>ABCDE6627F</t>
  </si>
  <si>
    <t>933289956861</t>
  </si>
  <si>
    <t>EMP0007</t>
  </si>
  <si>
    <t>kavita.singh7@company.com</t>
  </si>
  <si>
    <t>9894362766</t>
  </si>
  <si>
    <t>House 863, Sector 35, Jaipur</t>
  </si>
  <si>
    <t>UP</t>
  </si>
  <si>
    <t>Senior Analyst</t>
  </si>
  <si>
    <t>North Hub</t>
  </si>
  <si>
    <t>Saurabh Yadav</t>
  </si>
  <si>
    <t>Desk</t>
  </si>
  <si>
    <t>Furniture</t>
  </si>
  <si>
    <t>ABCDE7533F</t>
  </si>
  <si>
    <t>661179323504</t>
  </si>
  <si>
    <t>EMP0008</t>
  </si>
  <si>
    <t>Ankit Tiwari</t>
  </si>
  <si>
    <t>Tiwari</t>
  </si>
  <si>
    <t>ankit.tiwari8@company.com</t>
  </si>
  <si>
    <t>9841161112</t>
  </si>
  <si>
    <t>House 195, Sector 28, Pune</t>
  </si>
  <si>
    <t>Rajasthan</t>
  </si>
  <si>
    <t>Nisha Patel</t>
  </si>
  <si>
    <t>ABCDE4937F</t>
  </si>
  <si>
    <t>016888669352</t>
  </si>
  <si>
    <t>EMP0009</t>
  </si>
  <si>
    <t>Nisha Kumar</t>
  </si>
  <si>
    <t>Nisha</t>
  </si>
  <si>
    <t>Kumar</t>
  </si>
  <si>
    <t>nisha.kumar9@company.com</t>
  </si>
  <si>
    <t>9837237720</t>
  </si>
  <si>
    <t>House 253, Sector 10, Bengaluru</t>
  </si>
  <si>
    <t>Kavita Jain</t>
  </si>
  <si>
    <t>ABCDE8844F</t>
  </si>
  <si>
    <t>912935684636</t>
  </si>
  <si>
    <t>EMP0010</t>
  </si>
  <si>
    <t>pooja.jain10@company.com</t>
  </si>
  <si>
    <t>9845800734</t>
  </si>
  <si>
    <t>House 969, Sector 22, Patna</t>
  </si>
  <si>
    <t>MIS</t>
  </si>
  <si>
    <t>Ankit Yadav</t>
  </si>
  <si>
    <t>Laptop</t>
  </si>
  <si>
    <t>ABCDE5353F</t>
  </si>
  <si>
    <t>175539089868</t>
  </si>
  <si>
    <t xml:space="preserve">Transferred </t>
  </si>
  <si>
    <t>EMP0011</t>
  </si>
  <si>
    <t>Kavita Verma</t>
  </si>
  <si>
    <t>Verma</t>
  </si>
  <si>
    <t>kavita.verma11@company.com</t>
  </si>
  <si>
    <t>9856728305</t>
  </si>
  <si>
    <t>House 354, Sector 44, Lucknow</t>
  </si>
  <si>
    <t>Lucknow</t>
  </si>
  <si>
    <t>Priya Yadav</t>
  </si>
  <si>
    <t>ABCDE7522F</t>
  </si>
  <si>
    <t>294395270132</t>
  </si>
  <si>
    <t>EMP0012</t>
  </si>
  <si>
    <t>Ankit Patel</t>
  </si>
  <si>
    <t>Patel</t>
  </si>
  <si>
    <t>ankit.patel12@company.com</t>
  </si>
  <si>
    <t>9810575742</t>
  </si>
  <si>
    <t>House 878, Sector 2, Patna</t>
  </si>
  <si>
    <t>Riya Singh</t>
  </si>
  <si>
    <t>ABCDE1225F</t>
  </si>
  <si>
    <t>016906470795</t>
  </si>
  <si>
    <t>EMP0013</t>
  </si>
  <si>
    <t>kavita.singh13@company.com</t>
  </si>
  <si>
    <t>9845279032</t>
  </si>
  <si>
    <t>House 509, Sector 10, Jaipur</t>
  </si>
  <si>
    <t>Riya Kumar</t>
  </si>
  <si>
    <t>ABCDE3723F</t>
  </si>
  <si>
    <t>974551780964</t>
  </si>
  <si>
    <t>EMP0014</t>
  </si>
  <si>
    <t>Riya Tiwari</t>
  </si>
  <si>
    <t>Riya</t>
  </si>
  <si>
    <t>riya.tiwari14@company.com</t>
  </si>
  <si>
    <t>9831774573</t>
  </si>
  <si>
    <t>House 633, Sector 32, Pune</t>
  </si>
  <si>
    <t>ABCDE2467F</t>
  </si>
  <si>
    <t>564813866429</t>
  </si>
  <si>
    <t>New  Joiner</t>
  </si>
  <si>
    <t>EMP0015</t>
  </si>
  <si>
    <t>Rohit Sharma</t>
  </si>
  <si>
    <t>Sharma</t>
  </si>
  <si>
    <t>rohit.sharma15@company.com</t>
  </si>
  <si>
    <t>9898465410</t>
  </si>
  <si>
    <t>House 853, Sector 8, Mumbai</t>
  </si>
  <si>
    <t>Mumbai</t>
  </si>
  <si>
    <t>Nisha Tiwari</t>
  </si>
  <si>
    <t>ABCDE1476F</t>
  </si>
  <si>
    <t>279095311553</t>
  </si>
  <si>
    <t>EMP0016</t>
  </si>
  <si>
    <t>Vikas Yadav</t>
  </si>
  <si>
    <t>Vikas</t>
  </si>
  <si>
    <t>vikas.yadav16@company.com</t>
  </si>
  <si>
    <t>9876164222</t>
  </si>
  <si>
    <t>House 430, Sector 22, Mumbai</t>
  </si>
  <si>
    <t>Nisha Yadav</t>
  </si>
  <si>
    <t>ABCDE7547F</t>
  </si>
  <si>
    <t>919284268963</t>
  </si>
  <si>
    <t>EMP0017</t>
  </si>
  <si>
    <t>Riya Yadav</t>
  </si>
  <si>
    <t>riya.yadav17@company.com</t>
  </si>
  <si>
    <t>9839194449</t>
  </si>
  <si>
    <t>House 594, Sector 10, Patna</t>
  </si>
  <si>
    <t>Neha Verma</t>
  </si>
  <si>
    <t>ABCDE9309F</t>
  </si>
  <si>
    <t>129751445244</t>
  </si>
  <si>
    <t>EMP0018</t>
  </si>
  <si>
    <t>Saurabh Sharma</t>
  </si>
  <si>
    <t>Saurabh</t>
  </si>
  <si>
    <t>saurabh.sharma18@company.com</t>
  </si>
  <si>
    <t>9869265923</t>
  </si>
  <si>
    <t>House 546, Sector 11, Jaipur</t>
  </si>
  <si>
    <t>IT</t>
  </si>
  <si>
    <t>Priya Tiwari</t>
  </si>
  <si>
    <t>ABCDE4290F</t>
  </si>
  <si>
    <t>134543843604</t>
  </si>
  <si>
    <t>EMP0019</t>
  </si>
  <si>
    <t>vikas.yadav19@company.com</t>
  </si>
  <si>
    <t>9811027686</t>
  </si>
  <si>
    <t>House 649, Sector 39, Bengaluru</t>
  </si>
  <si>
    <t>Sneha Patel</t>
  </si>
  <si>
    <t>ABCDE5289F</t>
  </si>
  <si>
    <t>856588952385</t>
  </si>
  <si>
    <t>EMP0020</t>
  </si>
  <si>
    <t>Vikas Mishra</t>
  </si>
  <si>
    <t>vikas.mishra20@company.com</t>
  </si>
  <si>
    <t>9893234236</t>
  </si>
  <si>
    <t>House 14, Sector 47, Jaipur</t>
  </si>
  <si>
    <t>Saurabh Singh</t>
  </si>
  <si>
    <t>ABCDE4681F</t>
  </si>
  <si>
    <t>936710647054</t>
  </si>
  <si>
    <t>EMP0021</t>
  </si>
  <si>
    <t>Rahul Gupta</t>
  </si>
  <si>
    <t>Gupta</t>
  </si>
  <si>
    <t>rahul.gupta21@company.com</t>
  </si>
  <si>
    <t>9810011924</t>
  </si>
  <si>
    <t>House 461, Sector 28, Bengaluru</t>
  </si>
  <si>
    <t>Bihar</t>
  </si>
  <si>
    <t>ABCDE4868F</t>
  </si>
  <si>
    <t>286947055670</t>
  </si>
  <si>
    <t>Pending  Verification</t>
  </si>
  <si>
    <t>EMP0022</t>
  </si>
  <si>
    <t>Saurabh Jain</t>
  </si>
  <si>
    <t>saurabh.jain22@company.com</t>
  </si>
  <si>
    <t>9847802270</t>
  </si>
  <si>
    <t>House 456, Sector 20, Patna</t>
  </si>
  <si>
    <t>ABCDE7145F</t>
  </si>
  <si>
    <t>484020352788</t>
  </si>
  <si>
    <t>EMP0023</t>
  </si>
  <si>
    <t>Amit Jain</t>
  </si>
  <si>
    <t>Amit</t>
  </si>
  <si>
    <t>amit.jain23@company.com</t>
  </si>
  <si>
    <t>9825169514</t>
  </si>
  <si>
    <t>House 650, Sector 5, Delhi</t>
  </si>
  <si>
    <t>Rohit Tiwari</t>
  </si>
  <si>
    <t>ABCDE7164F</t>
  </si>
  <si>
    <t>428506284198</t>
  </si>
  <si>
    <t>EMP0024</t>
  </si>
  <si>
    <t>ankit.singh24@company.com</t>
  </si>
  <si>
    <t>9816004269</t>
  </si>
  <si>
    <t>House 967, Sector 31, Delhi</t>
  </si>
  <si>
    <t>Nisha Sharma</t>
  </si>
  <si>
    <t>ABCDE4808F</t>
  </si>
  <si>
    <t>103876415318</t>
  </si>
  <si>
    <t>EMP0025</t>
  </si>
  <si>
    <t>Pooja Sharma</t>
  </si>
  <si>
    <t>pooja.sharma25@company.com</t>
  </si>
  <si>
    <t>9870709171</t>
  </si>
  <si>
    <t>House 909, Sector 29, Lucknow</t>
  </si>
  <si>
    <t>Sneha Kumar</t>
  </si>
  <si>
    <t>Chair</t>
  </si>
  <si>
    <t>ABCDE8650F</t>
  </si>
  <si>
    <t>646579805947</t>
  </si>
  <si>
    <t>EMP0026</t>
  </si>
  <si>
    <t>Aditya Patel</t>
  </si>
  <si>
    <t>Aditya</t>
  </si>
  <si>
    <t>aditya.patel26@company.com</t>
  </si>
  <si>
    <t>9818656097</t>
  </si>
  <si>
    <t>House 382, Sector 14, Patna</t>
  </si>
  <si>
    <t>Priya Jain</t>
  </si>
  <si>
    <t>ABCDE9609F</t>
  </si>
  <si>
    <t>632296935834</t>
  </si>
  <si>
    <t>EMP0027</t>
  </si>
  <si>
    <t>Aditya Kumar</t>
  </si>
  <si>
    <t>aditya.kumar27@company.com</t>
  </si>
  <si>
    <t>9835498901</t>
  </si>
  <si>
    <t>House 383, Sector 48, Bengaluru</t>
  </si>
  <si>
    <t>Vikas Sharma</t>
  </si>
  <si>
    <t>ABCDE2793F</t>
  </si>
  <si>
    <t>363907635845</t>
  </si>
  <si>
    <t>EMP0028</t>
  </si>
  <si>
    <t>Vikas Gupta</t>
  </si>
  <si>
    <t>vikas.gupta28@company.com</t>
  </si>
  <si>
    <t>9881070562</t>
  </si>
  <si>
    <t>House 416, Sector 1, Jaipur</t>
  </si>
  <si>
    <t>Karan Gupta</t>
  </si>
  <si>
    <t>ABCDE6745F</t>
  </si>
  <si>
    <t>345071745427</t>
  </si>
  <si>
    <t>EMP0029</t>
  </si>
  <si>
    <t>Rahul Jain</t>
  </si>
  <si>
    <t>rahul.jain29@company.com</t>
  </si>
  <si>
    <t>9867249086</t>
  </si>
  <si>
    <t>House 881, Sector 28, Hyderabad</t>
  </si>
  <si>
    <t>Hyderabad</t>
  </si>
  <si>
    <t>Aditya Jain</t>
  </si>
  <si>
    <t>ABCDE5952F</t>
  </si>
  <si>
    <t>042427572253</t>
  </si>
  <si>
    <t>EMP0030</t>
  </si>
  <si>
    <t>Kavita Gupta</t>
  </si>
  <si>
    <t>kavita.gupta30@company.com</t>
  </si>
  <si>
    <t>9858946313</t>
  </si>
  <si>
    <t>House 639, Sector 32, Jaipur</t>
  </si>
  <si>
    <t>Ankit Verma</t>
  </si>
  <si>
    <t>ABCDE9994F</t>
  </si>
  <si>
    <t>874779015043</t>
  </si>
  <si>
    <t>EMP0031</t>
  </si>
  <si>
    <t>Sneha Yadav</t>
  </si>
  <si>
    <t>Sneha</t>
  </si>
  <si>
    <t>sneha.yadav31@company.com</t>
  </si>
  <si>
    <t>9814391086</t>
  </si>
  <si>
    <t>House 748, Sector 46, Hyderabad</t>
  </si>
  <si>
    <t>Priya Singh</t>
  </si>
  <si>
    <t>ABCDE9832F</t>
  </si>
  <si>
    <t>305236265648</t>
  </si>
  <si>
    <t>EMP0032</t>
  </si>
  <si>
    <t>Ankit Jain</t>
  </si>
  <si>
    <t>ankit.jain32@company.com</t>
  </si>
  <si>
    <t>9861895502</t>
  </si>
  <si>
    <t>House 565, Sector 30, Mumbai</t>
  </si>
  <si>
    <t>ABCDE2816F</t>
  </si>
  <si>
    <t>884574903503</t>
  </si>
  <si>
    <t>EMP0033</t>
  </si>
  <si>
    <t>Karan Kumar</t>
  </si>
  <si>
    <t>Karan</t>
  </si>
  <si>
    <t>karan.kumar33@company.com</t>
  </si>
  <si>
    <t>9857882592</t>
  </si>
  <si>
    <t>House 521, Sector 25, Patna</t>
  </si>
  <si>
    <t>Sneha Sharma</t>
  </si>
  <si>
    <t>ABCDE8977F</t>
  </si>
  <si>
    <t>420187566324</t>
  </si>
  <si>
    <t>EMP0034</t>
  </si>
  <si>
    <t>Priya Mishra</t>
  </si>
  <si>
    <t>Priya</t>
  </si>
  <si>
    <t>priya.mishra34@company.com</t>
  </si>
  <si>
    <t>9829620991</t>
  </si>
  <si>
    <t>House 488, Sector 7, Patna</t>
  </si>
  <si>
    <t>ABCDE3973F</t>
  </si>
  <si>
    <t>123145972686</t>
  </si>
  <si>
    <t>EMP0035</t>
  </si>
  <si>
    <t>riya.yadav35@company.com</t>
  </si>
  <si>
    <t>9819975174</t>
  </si>
  <si>
    <t>House 79, Sector 12, Lucknow</t>
  </si>
  <si>
    <t>Karan Singh</t>
  </si>
  <si>
    <t>ABCDE6487F</t>
  </si>
  <si>
    <t>441394683623</t>
  </si>
  <si>
    <t>EMP0036</t>
  </si>
  <si>
    <t>Neha Gupta</t>
  </si>
  <si>
    <t>neha.gupta36@company.com</t>
  </si>
  <si>
    <t>9883033038</t>
  </si>
  <si>
    <t>House 105, Sector 47, Mumbai</t>
  </si>
  <si>
    <t>Neha Singh</t>
  </si>
  <si>
    <t>ABCDE3273F</t>
  </si>
  <si>
    <t>161385571320</t>
  </si>
  <si>
    <t>EMP0037</t>
  </si>
  <si>
    <t>neha.gupta37@company.com</t>
  </si>
  <si>
    <t>9819502143</t>
  </si>
  <si>
    <t>House 408, Sector 20, Bengaluru</t>
  </si>
  <si>
    <t>Amit Singh</t>
  </si>
  <si>
    <t>ABCDE2525F</t>
  </si>
  <si>
    <t>910758498498</t>
  </si>
  <si>
    <t>EMP0038</t>
  </si>
  <si>
    <t>rahul.jain38@company.com</t>
  </si>
  <si>
    <t>9830906710</t>
  </si>
  <si>
    <t>House 476, Sector 6, Delhi</t>
  </si>
  <si>
    <t>Kavita Patel</t>
  </si>
  <si>
    <t>ABCDE7476F</t>
  </si>
  <si>
    <t>974612405808</t>
  </si>
  <si>
    <t>EMP0039</t>
  </si>
  <si>
    <t>Riya Gupta</t>
  </si>
  <si>
    <t>riya.gupta39@company.com</t>
  </si>
  <si>
    <t>9845574976</t>
  </si>
  <si>
    <t>House 847, Sector 27, Hyderabad</t>
  </si>
  <si>
    <t>ABCDE9529F</t>
  </si>
  <si>
    <t>268271743421</t>
  </si>
  <si>
    <t>EMP0040</t>
  </si>
  <si>
    <t>neha.verma40@company.com</t>
  </si>
  <si>
    <t>9882189759</t>
  </si>
  <si>
    <t>House 689, Sector 22, Delhi</t>
  </si>
  <si>
    <t>Amit Patel</t>
  </si>
  <si>
    <t>ABCDE3331F</t>
  </si>
  <si>
    <t>235044687064</t>
  </si>
  <si>
    <t>EMP0041</t>
  </si>
  <si>
    <t>riya.yadav41@company.com</t>
  </si>
  <si>
    <t>9830958996</t>
  </si>
  <si>
    <t>House 970, Sector 16, Lucknow</t>
  </si>
  <si>
    <t>Simran Singh</t>
  </si>
  <si>
    <t>ABCDE4435F</t>
  </si>
  <si>
    <t>346362658632</t>
  </si>
  <si>
    <t>EMP0042</t>
  </si>
  <si>
    <t>Rohit Patel</t>
  </si>
  <si>
    <t>rohit.patel42@company.com</t>
  </si>
  <si>
    <t>9823204769</t>
  </si>
  <si>
    <t>House 304, Sector 13, Lucknow</t>
  </si>
  <si>
    <t>Karan Tiwari</t>
  </si>
  <si>
    <t>ABCDE6929F</t>
  </si>
  <si>
    <t>247161016568</t>
  </si>
  <si>
    <t>EMP0043</t>
  </si>
  <si>
    <t>priya.singh43@company.com</t>
  </si>
  <si>
    <t>9844851926</t>
  </si>
  <si>
    <t>House 437, Sector 3, Pune</t>
  </si>
  <si>
    <t>ABCDE6983F</t>
  </si>
  <si>
    <t>360582341306</t>
  </si>
  <si>
    <t>EMP0044</t>
  </si>
  <si>
    <t>rahul.mishra44@company.com</t>
  </si>
  <si>
    <t>9899318307</t>
  </si>
  <si>
    <t>House 197, Sector 33, Lucknow</t>
  </si>
  <si>
    <t>ABCDE1236F</t>
  </si>
  <si>
    <t>097567203651</t>
  </si>
  <si>
    <t>EMP0045</t>
  </si>
  <si>
    <t>sneha.kumar45@company.com</t>
  </si>
  <si>
    <t>9829828718</t>
  </si>
  <si>
    <t>House 436, Sector 25, Mumbai</t>
  </si>
  <si>
    <t>ABCDE6748F</t>
  </si>
  <si>
    <t>232457243089</t>
  </si>
  <si>
    <t>EMP0046</t>
  </si>
  <si>
    <t>ankit.patel46@company.com</t>
  </si>
  <si>
    <t>9855795584</t>
  </si>
  <si>
    <t>House 217, Sector 6, Lucknow</t>
  </si>
  <si>
    <t>Aditya Gupta</t>
  </si>
  <si>
    <t>ABCDE7295F</t>
  </si>
  <si>
    <t>482885114619</t>
  </si>
  <si>
    <t>EMP0047</t>
  </si>
  <si>
    <t>rohit.sharma47@company.com</t>
  </si>
  <si>
    <t>9860430174</t>
  </si>
  <si>
    <t>House 191, Sector 20, Pune</t>
  </si>
  <si>
    <t>ABCDE4057F</t>
  </si>
  <si>
    <t>484106200493</t>
  </si>
  <si>
    <t>EMP0048</t>
  </si>
  <si>
    <t>priya.jain48@company.com</t>
  </si>
  <si>
    <t>9862503873</t>
  </si>
  <si>
    <t>House 257, Sector 28, Hyderabad</t>
  </si>
  <si>
    <t>ABCDE1261F</t>
  </si>
  <si>
    <t>480430637997</t>
  </si>
  <si>
    <t>EMP0049</t>
  </si>
  <si>
    <t>ankit.jain49@company.com</t>
  </si>
  <si>
    <t>9832217678</t>
  </si>
  <si>
    <t>House 850, Sector 39, Delhi</t>
  </si>
  <si>
    <t>Amit Mishra</t>
  </si>
  <si>
    <t>ABCDE8153F</t>
  </si>
  <si>
    <t>746082281130</t>
  </si>
  <si>
    <t>EMP0050</t>
  </si>
  <si>
    <t>Neha Patel</t>
  </si>
  <si>
    <t>neha.patel50@company.com</t>
  </si>
  <si>
    <t>9879008682</t>
  </si>
  <si>
    <t>House 686, Sector 24, Pune</t>
  </si>
  <si>
    <t>Rohit Kumar</t>
  </si>
  <si>
    <t>ABCDE5937F</t>
  </si>
  <si>
    <t>284131706983</t>
  </si>
  <si>
    <t>EMP0051</t>
  </si>
  <si>
    <t>Riya Jain</t>
  </si>
  <si>
    <t>riya.jain51@company.com</t>
  </si>
  <si>
    <t>9810751026</t>
  </si>
  <si>
    <t>House 750, Sector 20, Mumbai</t>
  </si>
  <si>
    <t>Vikas Patel</t>
  </si>
  <si>
    <t>ABCDE8110F</t>
  </si>
  <si>
    <t>150492563261</t>
  </si>
  <si>
    <t>EMP0052</t>
  </si>
  <si>
    <t>Saurabh Mishra</t>
  </si>
  <si>
    <t>saurabh.mishra52@company.com</t>
  </si>
  <si>
    <t>9811966528</t>
  </si>
  <si>
    <t>House 24, Sector 42, Hyderabad</t>
  </si>
  <si>
    <t>ABCDE5655F</t>
  </si>
  <si>
    <t>474953306477</t>
  </si>
  <si>
    <t>EMP0053</t>
  </si>
  <si>
    <t>kavita.gupta53@company.com</t>
  </si>
  <si>
    <t>9831388268</t>
  </si>
  <si>
    <t>House 928, Sector 18, Pune</t>
  </si>
  <si>
    <t>Pooja Mishra</t>
  </si>
  <si>
    <t>ABCDE7451F</t>
  </si>
  <si>
    <t>572482804901</t>
  </si>
  <si>
    <t>EMP0054</t>
  </si>
  <si>
    <t>karan.gupta54@company.com</t>
  </si>
  <si>
    <t>9821055320</t>
  </si>
  <si>
    <t>House 94, Sector 43, Hyderabad</t>
  </si>
  <si>
    <t>ABCDE4335F</t>
  </si>
  <si>
    <t>605544787710</t>
  </si>
  <si>
    <t>EMP0055</t>
  </si>
  <si>
    <t>Sneha Verma</t>
  </si>
  <si>
    <t>sneha.verma55@company.com</t>
  </si>
  <si>
    <t>9877102204</t>
  </si>
  <si>
    <t>House 852, Sector 30, Delhi</t>
  </si>
  <si>
    <t>ABCDE4737F</t>
  </si>
  <si>
    <t>360768118279</t>
  </si>
  <si>
    <t>EMP0056</t>
  </si>
  <si>
    <t>Simran</t>
  </si>
  <si>
    <t>simran.singh56@company.com</t>
  </si>
  <si>
    <t>9874464831</t>
  </si>
  <si>
    <t>House 638, Sector 2, Lucknow</t>
  </si>
  <si>
    <t>Nisha Gupta</t>
  </si>
  <si>
    <t>ABCDE7218F</t>
  </si>
  <si>
    <t>221217398711</t>
  </si>
  <si>
    <t>EMP0057</t>
  </si>
  <si>
    <t>Aditya Singh</t>
  </si>
  <si>
    <t>aditya.singh57@company.com</t>
  </si>
  <si>
    <t>9875704194</t>
  </si>
  <si>
    <t>House 347, Sector 5, Jaipur</t>
  </si>
  <si>
    <t>ABCDE2362F</t>
  </si>
  <si>
    <t>589134052633</t>
  </si>
  <si>
    <t>EMP0058</t>
  </si>
  <si>
    <t>nisha.tiwari58@company.com</t>
  </si>
  <si>
    <t>9851081393</t>
  </si>
  <si>
    <t>House 298, Sector 17, Pune</t>
  </si>
  <si>
    <t>Vikas Kumar</t>
  </si>
  <si>
    <t>ABCDE7377F</t>
  </si>
  <si>
    <t>513131690488</t>
  </si>
  <si>
    <t>EMP0059</t>
  </si>
  <si>
    <t>neha.jain59@company.com</t>
  </si>
  <si>
    <t>9843502858</t>
  </si>
  <si>
    <t>House 333, Sector 12, Pune</t>
  </si>
  <si>
    <t>Rohit Yadav</t>
  </si>
  <si>
    <t>ABCDE6399F</t>
  </si>
  <si>
    <t>164581005778</t>
  </si>
  <si>
    <t>EMP0060</t>
  </si>
  <si>
    <t>amit.singh60@company.com</t>
  </si>
  <si>
    <t>9854671575</t>
  </si>
  <si>
    <t>House 532, Sector 33, Lucknow</t>
  </si>
  <si>
    <t>ABCDE5640F</t>
  </si>
  <si>
    <t>957062542786</t>
  </si>
  <si>
    <t>EMP0061</t>
  </si>
  <si>
    <t>Neha Kumar</t>
  </si>
  <si>
    <t>neha.kumar61@company.com</t>
  </si>
  <si>
    <t>9881397558</t>
  </si>
  <si>
    <t>House 53, Sector 24, Hyderabad</t>
  </si>
  <si>
    <t>ABCDE3483F</t>
  </si>
  <si>
    <t>876098256750</t>
  </si>
  <si>
    <t>EMP0062</t>
  </si>
  <si>
    <t>kavita.yadav62@company.com</t>
  </si>
  <si>
    <t>9874828668</t>
  </si>
  <si>
    <t>House 261, Sector 47, Bengaluru</t>
  </si>
  <si>
    <t>Rohit Gupta</t>
  </si>
  <si>
    <t>ABCDE4588F</t>
  </si>
  <si>
    <t>319926559642</t>
  </si>
  <si>
    <t>EMP0063</t>
  </si>
  <si>
    <t>karan.tiwari63@company.com</t>
  </si>
  <si>
    <t>9810925655</t>
  </si>
  <si>
    <t>House 518, Sector 24, Patna</t>
  </si>
  <si>
    <t>Vikas Verma</t>
  </si>
  <si>
    <t>ABCDE9899F</t>
  </si>
  <si>
    <t>075193629738</t>
  </si>
  <si>
    <t>EMP0064</t>
  </si>
  <si>
    <t>nisha.kumar64@company.com</t>
  </si>
  <si>
    <t>9872260642</t>
  </si>
  <si>
    <t>House 344, Sector 33, Hyderabad</t>
  </si>
  <si>
    <t>ABCDE9121F</t>
  </si>
  <si>
    <t>418881367710</t>
  </si>
  <si>
    <t>EMP0065</t>
  </si>
  <si>
    <t>kavita.patel65@company.com</t>
  </si>
  <si>
    <t>9891068544</t>
  </si>
  <si>
    <t>House 763, Sector 20, Bengaluru</t>
  </si>
  <si>
    <t>Aditya Mishra</t>
  </si>
  <si>
    <t>ABCDE2573F</t>
  </si>
  <si>
    <t>170050348715</t>
  </si>
  <si>
    <t>EMP0066</t>
  </si>
  <si>
    <t>neha.patel66@company.com</t>
  </si>
  <si>
    <t>9892607831</t>
  </si>
  <si>
    <t>House 185, Sector 32, Bengaluru</t>
  </si>
  <si>
    <t>Amit Verma</t>
  </si>
  <si>
    <t>ABCDE5984F</t>
  </si>
  <si>
    <t>462785515371</t>
  </si>
  <si>
    <t>EMP0067</t>
  </si>
  <si>
    <t>priya.jain67@company.com</t>
  </si>
  <si>
    <t>9881678238</t>
  </si>
  <si>
    <t>House 833, Sector 30, Delhi</t>
  </si>
  <si>
    <t>ABCDE4028F</t>
  </si>
  <si>
    <t>832405546899</t>
  </si>
  <si>
    <t>EMP0068</t>
  </si>
  <si>
    <t>saurabh.sharma68@company.com</t>
  </si>
  <si>
    <t>9895271441</t>
  </si>
  <si>
    <t>House 849, Sector 45, Mumbai</t>
  </si>
  <si>
    <t>ABCDE9844F</t>
  </si>
  <si>
    <t>514245257066</t>
  </si>
  <si>
    <t>EMP0069</t>
  </si>
  <si>
    <t>saurabh.patel69@company.com</t>
  </si>
  <si>
    <t>9838694143</t>
  </si>
  <si>
    <t>House 675, Sector 7, Jaipur</t>
  </si>
  <si>
    <t>ABCDE8689F</t>
  </si>
  <si>
    <t>974661173384</t>
  </si>
  <si>
    <t>EMP0070</t>
  </si>
  <si>
    <t>neha.singh70@company.com</t>
  </si>
  <si>
    <t>9898701458</t>
  </si>
  <si>
    <t>House 940, Sector 49, Patna</t>
  </si>
  <si>
    <t>ABCDE9314F</t>
  </si>
  <si>
    <t>292638996575</t>
  </si>
  <si>
    <t>EMP0071</t>
  </si>
  <si>
    <t>Kavita Tiwari</t>
  </si>
  <si>
    <t>kavita.tiwari71@company.com</t>
  </si>
  <si>
    <t>9840338359</t>
  </si>
  <si>
    <t>House 56, Sector 20, Mumbai</t>
  </si>
  <si>
    <t>Pooja Tiwari</t>
  </si>
  <si>
    <t>ABCDE4428F</t>
  </si>
  <si>
    <t>422503924173</t>
  </si>
  <si>
    <t>EMP0072</t>
  </si>
  <si>
    <t>rohit.tiwari72@company.com</t>
  </si>
  <si>
    <t>9877526817</t>
  </si>
  <si>
    <t>House 352, Sector 26, Pune</t>
  </si>
  <si>
    <t>Vikas Singh</t>
  </si>
  <si>
    <t>ABCDE9743F</t>
  </si>
  <si>
    <t>620943224129</t>
  </si>
  <si>
    <t>EMP0073</t>
  </si>
  <si>
    <t>nisha.yadav73@company.com</t>
  </si>
  <si>
    <t>9877851727</t>
  </si>
  <si>
    <t>House 156, Sector 4, Bengaluru</t>
  </si>
  <si>
    <t>Simran Tiwari</t>
  </si>
  <si>
    <t>ABCDE8414F</t>
  </si>
  <si>
    <t>231331669056</t>
  </si>
  <si>
    <t>EMP0074</t>
  </si>
  <si>
    <t>priya.mishra74@company.com</t>
  </si>
  <si>
    <t>9830084772</t>
  </si>
  <si>
    <t>House 433, Sector 28, Mumbai</t>
  </si>
  <si>
    <t>ABCDE1990F</t>
  </si>
  <si>
    <t>620237239320</t>
  </si>
  <si>
    <t>EMP0075</t>
  </si>
  <si>
    <t>pooja.mishra75@company.com</t>
  </si>
  <si>
    <t>9861362326</t>
  </si>
  <si>
    <t>House 654, Sector 4, Hyderabad</t>
  </si>
  <si>
    <t>Saurabh Tiwari</t>
  </si>
  <si>
    <t>ABCDE4252F</t>
  </si>
  <si>
    <t>296628396127</t>
  </si>
  <si>
    <t>EMP0076</t>
  </si>
  <si>
    <t>sneha.kumar76@company.com</t>
  </si>
  <si>
    <t>9815667116</t>
  </si>
  <si>
    <t>House 176, Sector 2, Pune</t>
  </si>
  <si>
    <t>ABCDE1636F</t>
  </si>
  <si>
    <t>857414349052</t>
  </si>
  <si>
    <t>EMP0077</t>
  </si>
  <si>
    <t>riya.tiwari77@company.com</t>
  </si>
  <si>
    <t>9868747891</t>
  </si>
  <si>
    <t>House 19, Sector 48, Lucknow</t>
  </si>
  <si>
    <t>ABCDE8705F</t>
  </si>
  <si>
    <t>809953619635</t>
  </si>
  <si>
    <t>EMP0078</t>
  </si>
  <si>
    <t>kavita.yadav78@company.com</t>
  </si>
  <si>
    <t>9865999759</t>
  </si>
  <si>
    <t>House 238, Sector 17, Jaipur</t>
  </si>
  <si>
    <t>Ankit Kumar</t>
  </si>
  <si>
    <t>ABCDE8118F</t>
  </si>
  <si>
    <t>743454253652</t>
  </si>
  <si>
    <t>EMP0079</t>
  </si>
  <si>
    <t>Pooja Singh</t>
  </si>
  <si>
    <t>pooja.singh79@company.com</t>
  </si>
  <si>
    <t>9812628760</t>
  </si>
  <si>
    <t>House 758, Sector 24, Hyderabad</t>
  </si>
  <si>
    <t>ABCDE1958F</t>
  </si>
  <si>
    <t>579380660819</t>
  </si>
  <si>
    <t>EMP0080</t>
  </si>
  <si>
    <t>sneha.verma80@company.com</t>
  </si>
  <si>
    <t>9822050716</t>
  </si>
  <si>
    <t>House 914, Sector 5, Lucknow</t>
  </si>
  <si>
    <t>ABCDE5792F</t>
  </si>
  <si>
    <t>118775844278</t>
  </si>
  <si>
    <t>EMP0081</t>
  </si>
  <si>
    <t>Aditya Tiwari</t>
  </si>
  <si>
    <t>aditya.tiwari81@company.com</t>
  </si>
  <si>
    <t>9813366512</t>
  </si>
  <si>
    <t>House 428, Sector 24, Pune</t>
  </si>
  <si>
    <t>Pooja Patel</t>
  </si>
  <si>
    <t>ABCDE9833F</t>
  </si>
  <si>
    <t>422943134858</t>
  </si>
  <si>
    <t>EMP0082</t>
  </si>
  <si>
    <t>saurabh.sharma82@company.com</t>
  </si>
  <si>
    <t>9875219547</t>
  </si>
  <si>
    <t>House 489, Sector 45, Patna</t>
  </si>
  <si>
    <t>Rohit Verma</t>
  </si>
  <si>
    <t>ABCDE9050F</t>
  </si>
  <si>
    <t>200710953988</t>
  </si>
  <si>
    <t>EMP0083</t>
  </si>
  <si>
    <t>riya.sharma83@company.com</t>
  </si>
  <si>
    <t>9827083633</t>
  </si>
  <si>
    <t>House 119, Sector 35, Delhi</t>
  </si>
  <si>
    <t>Aditya Verma</t>
  </si>
  <si>
    <t>ABCDE9775F</t>
  </si>
  <si>
    <t>828246650200</t>
  </si>
  <si>
    <t>EMP0084</t>
  </si>
  <si>
    <t>riya.singh84@company.com</t>
  </si>
  <si>
    <t>9824963251</t>
  </si>
  <si>
    <t>House 607, Sector 11, Lucknow</t>
  </si>
  <si>
    <t>ABCDE5604F</t>
  </si>
  <si>
    <t>992607628269</t>
  </si>
  <si>
    <t>EMP0085</t>
  </si>
  <si>
    <t>Simran Verma</t>
  </si>
  <si>
    <t>simran.verma85@company.com</t>
  </si>
  <si>
    <t>9899645192</t>
  </si>
  <si>
    <t>House 449, Sector 24, Delhi</t>
  </si>
  <si>
    <t>Pooja Kumar</t>
  </si>
  <si>
    <t>ABCDE3508F</t>
  </si>
  <si>
    <t>443469493480</t>
  </si>
  <si>
    <t>EMP0086</t>
  </si>
  <si>
    <t>nisha.tiwari86@company.com</t>
  </si>
  <si>
    <t>9885856793</t>
  </si>
  <si>
    <t>House 536, Sector 15, Mumbai</t>
  </si>
  <si>
    <t>ABCDE6774F</t>
  </si>
  <si>
    <t>435423881037</t>
  </si>
  <si>
    <t>EMP0087</t>
  </si>
  <si>
    <t>karan.gupta87@company.com</t>
  </si>
  <si>
    <t>9842302001</t>
  </si>
  <si>
    <t>House 871, Sector 49, Bengaluru</t>
  </si>
  <si>
    <t>ABCDE1255F</t>
  </si>
  <si>
    <t>675023716886</t>
  </si>
  <si>
    <t>EMP0088</t>
  </si>
  <si>
    <t>riya.singh88@company.com</t>
  </si>
  <si>
    <t>9830987055</t>
  </si>
  <si>
    <t>House 294, Sector 41, Patna</t>
  </si>
  <si>
    <t>ABCDE9440F</t>
  </si>
  <si>
    <t>963812961131</t>
  </si>
  <si>
    <t>EMP0089</t>
  </si>
  <si>
    <t>karan.singh89@company.com</t>
  </si>
  <si>
    <t>9833895236</t>
  </si>
  <si>
    <t>House 671, Sector 8, Delhi</t>
  </si>
  <si>
    <t>Rahul Tiwari</t>
  </si>
  <si>
    <t>ABCDE6563F</t>
  </si>
  <si>
    <t>378572651596</t>
  </si>
  <si>
    <t>EMP0090</t>
  </si>
  <si>
    <t>neha.kumar90@company.com</t>
  </si>
  <si>
    <t>9866024438</t>
  </si>
  <si>
    <t>House 517, Sector 27, Mumbai</t>
  </si>
  <si>
    <t>ABCDE1902F</t>
  </si>
  <si>
    <t>750012441202</t>
  </si>
  <si>
    <t>EMP0091</t>
  </si>
  <si>
    <t>pooja.sharma91@company.com</t>
  </si>
  <si>
    <t>9894106084</t>
  </si>
  <si>
    <t>House 283, Sector 25, Jaipur</t>
  </si>
  <si>
    <t>ABCDE1598F</t>
  </si>
  <si>
    <t>127036035578</t>
  </si>
  <si>
    <t>EMP0092</t>
  </si>
  <si>
    <t>Ankit Gupta</t>
  </si>
  <si>
    <t>ankit.gupta92@company.com</t>
  </si>
  <si>
    <t>9889122135</t>
  </si>
  <si>
    <t>House 263, Sector 43, Bengaluru</t>
  </si>
  <si>
    <t>ABCDE8682F</t>
  </si>
  <si>
    <t>573937868148</t>
  </si>
  <si>
    <t>EMP0093</t>
  </si>
  <si>
    <t>Pooja Gupta</t>
  </si>
  <si>
    <t>pooja.gupta93@company.com</t>
  </si>
  <si>
    <t>9845640479</t>
  </si>
  <si>
    <t>House 678, Sector 12, Jaipur</t>
  </si>
  <si>
    <t>ABCDE7910F</t>
  </si>
  <si>
    <t>971034289498</t>
  </si>
  <si>
    <t>EMP0094</t>
  </si>
  <si>
    <t>kavita.tiwari94@company.com</t>
  </si>
  <si>
    <t>9878926325</t>
  </si>
  <si>
    <t>House 549, Sector 27, Hyderabad</t>
  </si>
  <si>
    <t>Saurabh Gupta</t>
  </si>
  <si>
    <t>ABCDE1808F</t>
  </si>
  <si>
    <t>608888641307</t>
  </si>
  <si>
    <t>EMP0095</t>
  </si>
  <si>
    <t>vikas.verma95@company.com</t>
  </si>
  <si>
    <t>9899865126</t>
  </si>
  <si>
    <t>House 1, Sector 8, Delhi</t>
  </si>
  <si>
    <t>ABCDE2786F</t>
  </si>
  <si>
    <t>802699357875</t>
  </si>
  <si>
    <t>EMP0096</t>
  </si>
  <si>
    <t>pooja.yadav96@company.com</t>
  </si>
  <si>
    <t>9876044762</t>
  </si>
  <si>
    <t>House 614, Sector 36, Jaipur</t>
  </si>
  <si>
    <t>ABCDE9373F</t>
  </si>
  <si>
    <t>619672519427</t>
  </si>
  <si>
    <t>EMP0097</t>
  </si>
  <si>
    <t>pooja.tiwari97@company.com</t>
  </si>
  <si>
    <t>9887651995</t>
  </si>
  <si>
    <t>House 792, Sector 9, Patna</t>
  </si>
  <si>
    <t>Nisha Singh</t>
  </si>
  <si>
    <t>ABCDE1296F</t>
  </si>
  <si>
    <t>129584582529</t>
  </si>
  <si>
    <t>EMP0098</t>
  </si>
  <si>
    <t>Neha Mishra</t>
  </si>
  <si>
    <t>neha.mishra98@company.com</t>
  </si>
  <si>
    <t>9813623092</t>
  </si>
  <si>
    <t>House 103, Sector 10, Pune</t>
  </si>
  <si>
    <t>ABCDE7827F</t>
  </si>
  <si>
    <t>374277840025</t>
  </si>
  <si>
    <t>EMP0099</t>
  </si>
  <si>
    <t>Neha Yadav</t>
  </si>
  <si>
    <t>neha.yadav99@company.com</t>
  </si>
  <si>
    <t>9878819882</t>
  </si>
  <si>
    <t>House 62, Sector 13, Lucknow</t>
  </si>
  <si>
    <t>ABCDE8316F</t>
  </si>
  <si>
    <t>193869585749</t>
  </si>
  <si>
    <t>EMP0100</t>
  </si>
  <si>
    <t>neha.gupta100@company.com</t>
  </si>
  <si>
    <t>9874091868</t>
  </si>
  <si>
    <t>House 423, Sector 9, Bengaluru</t>
  </si>
  <si>
    <t>ABCDE6310F</t>
  </si>
  <si>
    <t>617961834879</t>
  </si>
  <si>
    <t>EMP0101</t>
  </si>
  <si>
    <t>Simran Kumar</t>
  </si>
  <si>
    <t>simran.kumar101@company.com</t>
  </si>
  <si>
    <t>9817079350</t>
  </si>
  <si>
    <t>House 10, Sector 41, Bengaluru</t>
  </si>
  <si>
    <t>Priya Verma</t>
  </si>
  <si>
    <t>ABCDE8295F</t>
  </si>
  <si>
    <t>388693655634</t>
  </si>
  <si>
    <t>EMP0102</t>
  </si>
  <si>
    <t>ankit.gupta102@company.com</t>
  </si>
  <si>
    <t>9888597673</t>
  </si>
  <si>
    <t>House 18, Sector 25, Patna</t>
  </si>
  <si>
    <t>Nisha Verma</t>
  </si>
  <si>
    <t>ABCDE9535F</t>
  </si>
  <si>
    <t>677633609816</t>
  </si>
  <si>
    <t>EMP0103</t>
  </si>
  <si>
    <t>Simran Jain</t>
  </si>
  <si>
    <t>simran.jain103@company.com</t>
  </si>
  <si>
    <t>9858185875</t>
  </si>
  <si>
    <t>House 739, Sector 33, Jaipur</t>
  </si>
  <si>
    <t>ABCDE1787F</t>
  </si>
  <si>
    <t>200537257492</t>
  </si>
  <si>
    <t>EMP0104</t>
  </si>
  <si>
    <t>aditya.patel104@company.com</t>
  </si>
  <si>
    <t>9870249024</t>
  </si>
  <si>
    <t>House 736, Sector 29, Pune</t>
  </si>
  <si>
    <t>ABCDE4314F</t>
  </si>
  <si>
    <t>826960895816</t>
  </si>
  <si>
    <t>EMP0105</t>
  </si>
  <si>
    <t>ankit.gupta105@company.com</t>
  </si>
  <si>
    <t>9821059185</t>
  </si>
  <si>
    <t>House 925, Sector 2, Pune</t>
  </si>
  <si>
    <t>Ankit Sharma</t>
  </si>
  <si>
    <t>ABCDE2997F</t>
  </si>
  <si>
    <t>648739138510</t>
  </si>
  <si>
    <t>EMP0106</t>
  </si>
  <si>
    <t>Priya Gupta</t>
  </si>
  <si>
    <t>priya.gupta106@company.com</t>
  </si>
  <si>
    <t>9821545147</t>
  </si>
  <si>
    <t>House 687, Sector 19, Pune</t>
  </si>
  <si>
    <t>ABCDE9281F</t>
  </si>
  <si>
    <t>981089518315</t>
  </si>
  <si>
    <t>EMP0107</t>
  </si>
  <si>
    <t>Amit Tiwari</t>
  </si>
  <si>
    <t>amit.tiwari107@company.com</t>
  </si>
  <si>
    <t>9845553015</t>
  </si>
  <si>
    <t>House 486, Sector 29, Lucknow</t>
  </si>
  <si>
    <t>ABCDE6190F</t>
  </si>
  <si>
    <t>550571259295</t>
  </si>
  <si>
    <t>EMP0108</t>
  </si>
  <si>
    <t>rohit.jain108@company.com</t>
  </si>
  <si>
    <t>9818147533</t>
  </si>
  <si>
    <t>House 275, Sector 24, Delhi</t>
  </si>
  <si>
    <t>Sneha Gupta</t>
  </si>
  <si>
    <t>ABCDE4038F</t>
  </si>
  <si>
    <t>601967069778</t>
  </si>
  <si>
    <t>EMP0109</t>
  </si>
  <si>
    <t>nisha.mishra109@company.com</t>
  </si>
  <si>
    <t>9868340237</t>
  </si>
  <si>
    <t>House 705, Sector 5, Jaipur</t>
  </si>
  <si>
    <t>ABCDE6461F</t>
  </si>
  <si>
    <t>925820853825</t>
  </si>
  <si>
    <t>EMP0110</t>
  </si>
  <si>
    <t>Simran Gupta</t>
  </si>
  <si>
    <t>simran.gupta110@company.com</t>
  </si>
  <si>
    <t>9833845002</t>
  </si>
  <si>
    <t>House 19, Sector 44, Lucknow</t>
  </si>
  <si>
    <t>Karan Yadav</t>
  </si>
  <si>
    <t>ABCDE2254F</t>
  </si>
  <si>
    <t>956246911389</t>
  </si>
  <si>
    <t>EMP0111</t>
  </si>
  <si>
    <t>priya.yadav111@company.com</t>
  </si>
  <si>
    <t>9826325377</t>
  </si>
  <si>
    <t>House 656, Sector 34, Mumbai</t>
  </si>
  <si>
    <t>ABCDE4794F</t>
  </si>
  <si>
    <t>503857611302</t>
  </si>
  <si>
    <t>EMP0112</t>
  </si>
  <si>
    <t>karan.yadav112@company.com</t>
  </si>
  <si>
    <t>9885862760</t>
  </si>
  <si>
    <t>House 297, Sector 42, Pune</t>
  </si>
  <si>
    <t>ABCDE7586F</t>
  </si>
  <si>
    <t>755314129707</t>
  </si>
  <si>
    <t>EMP0113</t>
  </si>
  <si>
    <t>Karan Verma</t>
  </si>
  <si>
    <t>karan.verma113@company.com</t>
  </si>
  <si>
    <t>9889788887</t>
  </si>
  <si>
    <t>House 260, Sector 25, Patna</t>
  </si>
  <si>
    <t>Rahul Singh</t>
  </si>
  <si>
    <t>ABCDE8169F</t>
  </si>
  <si>
    <t>746578116262</t>
  </si>
  <si>
    <t>EMP0114</t>
  </si>
  <si>
    <t>pooja.yadav114@company.com</t>
  </si>
  <si>
    <t>9849712301</t>
  </si>
  <si>
    <t>House 231, Sector 40, Patna</t>
  </si>
  <si>
    <t>ABCDE9959F</t>
  </si>
  <si>
    <t>289908307569</t>
  </si>
  <si>
    <t>EMP0115</t>
  </si>
  <si>
    <t>vikas.singh115@company.com</t>
  </si>
  <si>
    <t>9843081142</t>
  </si>
  <si>
    <t>House 62, Sector 50, Delhi</t>
  </si>
  <si>
    <t>ABCDE7397F</t>
  </si>
  <si>
    <t>273851833541</t>
  </si>
  <si>
    <t>EMP0116</t>
  </si>
  <si>
    <t>saurabh.jain116@company.com</t>
  </si>
  <si>
    <t>9836945793</t>
  </si>
  <si>
    <t>House 802, Sector 35, Jaipur</t>
  </si>
  <si>
    <t>Nisha Jain</t>
  </si>
  <si>
    <t>ABCDE1534F</t>
  </si>
  <si>
    <t>109067672562</t>
  </si>
  <si>
    <t>EMP0117</t>
  </si>
  <si>
    <t>Simran Sharma</t>
  </si>
  <si>
    <t>simran.sharma117@company.com</t>
  </si>
  <si>
    <t>9817382460</t>
  </si>
  <si>
    <t>House 965, Sector 28, Patna</t>
  </si>
  <si>
    <t>ABCDE2023F</t>
  </si>
  <si>
    <t>707343467223</t>
  </si>
  <si>
    <t>EMP0118</t>
  </si>
  <si>
    <t>aditya.patel118@company.com</t>
  </si>
  <si>
    <t>9849431778</t>
  </si>
  <si>
    <t>House 434, Sector 49, Mumbai</t>
  </si>
  <si>
    <t>Sneha Mishra</t>
  </si>
  <si>
    <t>ABCDE6383F</t>
  </si>
  <si>
    <t>846217611661</t>
  </si>
  <si>
    <t>EMP0119</t>
  </si>
  <si>
    <t>Simran Patel</t>
  </si>
  <si>
    <t>simran.patel119@company.com</t>
  </si>
  <si>
    <t>9850047609</t>
  </si>
  <si>
    <t>House 624, Sector 39, Mumbai</t>
  </si>
  <si>
    <t>Sneha Jain</t>
  </si>
  <si>
    <t>ABCDE3265F</t>
  </si>
  <si>
    <t>090886928827</t>
  </si>
  <si>
    <t>EMP0120</t>
  </si>
  <si>
    <t>saurabh.gupta120@company.com</t>
  </si>
  <si>
    <t>9818442028</t>
  </si>
  <si>
    <t>House 481, Sector 35, Mumbai</t>
  </si>
  <si>
    <t>ABCDE5080F</t>
  </si>
  <si>
    <t>493639970043</t>
  </si>
  <si>
    <t>EMP0121</t>
  </si>
  <si>
    <t>Rahul Yadav</t>
  </si>
  <si>
    <t>rahul.yadav121@company.com</t>
  </si>
  <si>
    <t>9893372102</t>
  </si>
  <si>
    <t>House 76, Sector 12, Mumbai</t>
  </si>
  <si>
    <t>ABCDE1302F</t>
  </si>
  <si>
    <t>940471486886</t>
  </si>
  <si>
    <t>EMP0122</t>
  </si>
  <si>
    <t>aditya.jain122@company.com</t>
  </si>
  <si>
    <t>9841844366</t>
  </si>
  <si>
    <t>House 88, Sector 34, Delhi</t>
  </si>
  <si>
    <t>ABCDE5044F</t>
  </si>
  <si>
    <t>948842070675</t>
  </si>
  <si>
    <t>EMP0123</t>
  </si>
  <si>
    <t>Rahul Verma</t>
  </si>
  <si>
    <t>rahul.verma123@company.com</t>
  </si>
  <si>
    <t>9894004690</t>
  </si>
  <si>
    <t>House 499, Sector 1, Bengaluru</t>
  </si>
  <si>
    <t>Karan Mishra</t>
  </si>
  <si>
    <t>ABCDE2163F</t>
  </si>
  <si>
    <t>303349823927</t>
  </si>
  <si>
    <t>EMP0124</t>
  </si>
  <si>
    <t>vikas.singh124@company.com</t>
  </si>
  <si>
    <t>9829596381</t>
  </si>
  <si>
    <t>House 680, Sector 41, Lucknow</t>
  </si>
  <si>
    <t>ABCDE7061F</t>
  </si>
  <si>
    <t>804596266801</t>
  </si>
  <si>
    <t>EMP0125</t>
  </si>
  <si>
    <t>rahul.verma125@company.com</t>
  </si>
  <si>
    <t>9852660315</t>
  </si>
  <si>
    <t>House 580, Sector 17, Hyderabad</t>
  </si>
  <si>
    <t>Priya Kumar</t>
  </si>
  <si>
    <t>ABCDE1342F</t>
  </si>
  <si>
    <t>992026887139</t>
  </si>
  <si>
    <t>EMP0126</t>
  </si>
  <si>
    <t>rohit.jain126@company.com</t>
  </si>
  <si>
    <t>9843016102</t>
  </si>
  <si>
    <t>House 857, Sector 39, Jaipur</t>
  </si>
  <si>
    <t>Neha Sharma</t>
  </si>
  <si>
    <t>ABCDE1135F</t>
  </si>
  <si>
    <t>301260946412</t>
  </si>
  <si>
    <t>EMP0127</t>
  </si>
  <si>
    <t>ankit.kumar127@company.com</t>
  </si>
  <si>
    <t>9880656809</t>
  </si>
  <si>
    <t>House 322, Sector 7, Lucknow</t>
  </si>
  <si>
    <t>ABCDE5240F</t>
  </si>
  <si>
    <t>385160046256</t>
  </si>
  <si>
    <t>EMP0128</t>
  </si>
  <si>
    <t>rohit.patel128@company.com</t>
  </si>
  <si>
    <t>9865955066</t>
  </si>
  <si>
    <t>House 649, Sector 37, Hyderabad</t>
  </si>
  <si>
    <t>ABCDE2006F</t>
  </si>
  <si>
    <t>834801897043</t>
  </si>
  <si>
    <t>EMP0129</t>
  </si>
  <si>
    <t>Pooja Verma</t>
  </si>
  <si>
    <t>pooja.verma129@company.com</t>
  </si>
  <si>
    <t>9886141164</t>
  </si>
  <si>
    <t>House 199, Sector 6, Delhi</t>
  </si>
  <si>
    <t>Sneha Singh</t>
  </si>
  <si>
    <t>ABCDE8803F</t>
  </si>
  <si>
    <t>709282700032</t>
  </si>
  <si>
    <t>EMP0130</t>
  </si>
  <si>
    <t>neha.mishra130@company.com</t>
  </si>
  <si>
    <t>9830496080</t>
  </si>
  <si>
    <t>House 685, Sector 42, Lucknow</t>
  </si>
  <si>
    <t>ABCDE5432F</t>
  </si>
  <si>
    <t>916100045126</t>
  </si>
  <si>
    <t>EMP0131</t>
  </si>
  <si>
    <t>aditya.singh131@company.com</t>
  </si>
  <si>
    <t>9867884143</t>
  </si>
  <si>
    <t>House 622, Sector 44, Jaipur</t>
  </si>
  <si>
    <t>Riya Mishra</t>
  </si>
  <si>
    <t>ABCDE2239F</t>
  </si>
  <si>
    <t>823927302975</t>
  </si>
  <si>
    <t>EMP0132</t>
  </si>
  <si>
    <t>pooja.singh132@company.com</t>
  </si>
  <si>
    <t>9850994513</t>
  </si>
  <si>
    <t>House 563, Sector 6, Jaipur</t>
  </si>
  <si>
    <t>Priya Patel</t>
  </si>
  <si>
    <t>ABCDE5068F</t>
  </si>
  <si>
    <t>249876449718</t>
  </si>
  <si>
    <t>EMP0133</t>
  </si>
  <si>
    <t>amit.jain133@company.com</t>
  </si>
  <si>
    <t>9839831355</t>
  </si>
  <si>
    <t>House 137, Sector 41, Bengaluru</t>
  </si>
  <si>
    <t>ABCDE9512F</t>
  </si>
  <si>
    <t>864047542956</t>
  </si>
  <si>
    <t>EMP0134</t>
  </si>
  <si>
    <t>sneha.kumar134@company.com</t>
  </si>
  <si>
    <t>9893173208</t>
  </si>
  <si>
    <t>House 548, Sector 41, Jaipur</t>
  </si>
  <si>
    <t>Neha Tiwari</t>
  </si>
  <si>
    <t>ABCDE1520F</t>
  </si>
  <si>
    <t>437199980635</t>
  </si>
  <si>
    <t>EMP0135</t>
  </si>
  <si>
    <t>ankit.yadav135@company.com</t>
  </si>
  <si>
    <t>9829328793</t>
  </si>
  <si>
    <t>House 993, Sector 34, Delhi</t>
  </si>
  <si>
    <t>ABCDE1786F</t>
  </si>
  <si>
    <t>809047341460</t>
  </si>
  <si>
    <t>EMP0136</t>
  </si>
  <si>
    <t>Vikas Tiwari</t>
  </si>
  <si>
    <t>vikas.tiwari136@company.com</t>
  </si>
  <si>
    <t>9887391552</t>
  </si>
  <si>
    <t>House 626, Sector 23, Delhi</t>
  </si>
  <si>
    <t>ABCDE1650F</t>
  </si>
  <si>
    <t>902970163153</t>
  </si>
  <si>
    <t>EMP0137</t>
  </si>
  <si>
    <t>Rohit Singh</t>
  </si>
  <si>
    <t>rohit.singh137@company.com</t>
  </si>
  <si>
    <t>9860087915</t>
  </si>
  <si>
    <t>House 45, Sector 46, Patna</t>
  </si>
  <si>
    <t>ABCDE4273F</t>
  </si>
  <si>
    <t>872156373755</t>
  </si>
  <si>
    <t>EMP0138</t>
  </si>
  <si>
    <t>priya.singh138@company.com</t>
  </si>
  <si>
    <t>9820506871</t>
  </si>
  <si>
    <t>House 2, Sector 22, Pune</t>
  </si>
  <si>
    <t>Aditya Yadav</t>
  </si>
  <si>
    <t>ABCDE7815F</t>
  </si>
  <si>
    <t>743876946441</t>
  </si>
  <si>
    <t>EMP0139</t>
  </si>
  <si>
    <t>karan.tiwari139@company.com</t>
  </si>
  <si>
    <t>9814000409</t>
  </si>
  <si>
    <t>House 759, Sector 44, Pune</t>
  </si>
  <si>
    <t>ABCDE5250F</t>
  </si>
  <si>
    <t>745273116795</t>
  </si>
  <si>
    <t>EMP0140</t>
  </si>
  <si>
    <t>karan.kumar140@company.com</t>
  </si>
  <si>
    <t>9821332457</t>
  </si>
  <si>
    <t>House 753, Sector 9, Hyderabad</t>
  </si>
  <si>
    <t>ABCDE8859F</t>
  </si>
  <si>
    <t>159248540394</t>
  </si>
  <si>
    <t>EMP0141</t>
  </si>
  <si>
    <t>karan.kumar141@company.com</t>
  </si>
  <si>
    <t>9815393775</t>
  </si>
  <si>
    <t>House 396, Sector 8, Jaipur</t>
  </si>
  <si>
    <t>ABCDE3805F</t>
  </si>
  <si>
    <t>389561502898</t>
  </si>
  <si>
    <t>EMP0142</t>
  </si>
  <si>
    <t>rahul.gupta142@company.com</t>
  </si>
  <si>
    <t>9847500020</t>
  </si>
  <si>
    <t>House 10, Sector 17, Bengaluru</t>
  </si>
  <si>
    <t>Kavita Sharma</t>
  </si>
  <si>
    <t>ABCDE8305F</t>
  </si>
  <si>
    <t>726440603953</t>
  </si>
  <si>
    <t>EMP0143</t>
  </si>
  <si>
    <t>Simran Mishra</t>
  </si>
  <si>
    <t>simran.mishra143@company.com</t>
  </si>
  <si>
    <t>9829876175</t>
  </si>
  <si>
    <t>House 644, Sector 24, Delhi</t>
  </si>
  <si>
    <t>ABCDE9264F</t>
  </si>
  <si>
    <t>170810943661</t>
  </si>
  <si>
    <t>EMP0144</t>
  </si>
  <si>
    <t>Riya Verma</t>
  </si>
  <si>
    <t>riya.verma144@company.com</t>
  </si>
  <si>
    <t>9840819982</t>
  </si>
  <si>
    <t>House 907, Sector 22, Jaipur</t>
  </si>
  <si>
    <t>ABCDE5849F</t>
  </si>
  <si>
    <t>240039515472</t>
  </si>
  <si>
    <t>EMP0145</t>
  </si>
  <si>
    <t>priya.gupta145@company.com</t>
  </si>
  <si>
    <t>9843836905</t>
  </si>
  <si>
    <t>House 310, Sector 2, Jaipur</t>
  </si>
  <si>
    <t>ABCDE4081F</t>
  </si>
  <si>
    <t>307316820285</t>
  </si>
  <si>
    <t>EMP0146</t>
  </si>
  <si>
    <t>rahul.verma146@company.com</t>
  </si>
  <si>
    <t>9878703291</t>
  </si>
  <si>
    <t>House 98, Sector 4, Bengaluru</t>
  </si>
  <si>
    <t>ABCDE9810F</t>
  </si>
  <si>
    <t>392529197220</t>
  </si>
  <si>
    <t>EMP0147</t>
  </si>
  <si>
    <t>karan.gupta147@company.com</t>
  </si>
  <si>
    <t>9818382267</t>
  </si>
  <si>
    <t>House 143, Sector 38, Patna</t>
  </si>
  <si>
    <t>ABCDE8078F</t>
  </si>
  <si>
    <t>033953544912</t>
  </si>
  <si>
    <t>EMP0148</t>
  </si>
  <si>
    <t>amit.verma148@company.com</t>
  </si>
  <si>
    <t>9820072162</t>
  </si>
  <si>
    <t>House 4, Sector 41, Patna</t>
  </si>
  <si>
    <t>ABCDE6087F</t>
  </si>
  <si>
    <t>318768164070</t>
  </si>
  <si>
    <t>EMP0149</t>
  </si>
  <si>
    <t>rohit.yadav149@company.com</t>
  </si>
  <si>
    <t>9828424007</t>
  </si>
  <si>
    <t>House 760, Sector 16, Hyderabad</t>
  </si>
  <si>
    <t>Priya Sharma</t>
  </si>
  <si>
    <t>ABCDE2199F</t>
  </si>
  <si>
    <t>875639697570</t>
  </si>
  <si>
    <t>EMP0150</t>
  </si>
  <si>
    <t>nisha.sharma150@company.com</t>
  </si>
  <si>
    <t>9889694266</t>
  </si>
  <si>
    <t>House 986, Sector 49, Patna</t>
  </si>
  <si>
    <t>ABCDE7058F</t>
  </si>
  <si>
    <t>972661411826</t>
  </si>
  <si>
    <t>EMP0151</t>
  </si>
  <si>
    <t>rohit.sharma151@company.com</t>
  </si>
  <si>
    <t>9832589861</t>
  </si>
  <si>
    <t>House 345, Sector 34, Lucknow</t>
  </si>
  <si>
    <t>ABCDE8535F</t>
  </si>
  <si>
    <t>420476295394</t>
  </si>
  <si>
    <t>EMP0152</t>
  </si>
  <si>
    <t>neha.verma152@company.com</t>
  </si>
  <si>
    <t>9868919765</t>
  </si>
  <si>
    <t>House 34, Sector 40, Pune</t>
  </si>
  <si>
    <t>ABCDE6944F</t>
  </si>
  <si>
    <t>997171100282</t>
  </si>
  <si>
    <t>EMP0153</t>
  </si>
  <si>
    <t>vikas.yadav153@company.com</t>
  </si>
  <si>
    <t>9816246163</t>
  </si>
  <si>
    <t>House 829, Sector 36, Jaipur</t>
  </si>
  <si>
    <t>Rahul Patel</t>
  </si>
  <si>
    <t>ABCDE3971F</t>
  </si>
  <si>
    <t>331076935395</t>
  </si>
  <si>
    <t>EMP0154</t>
  </si>
  <si>
    <t>amit.tiwari154@company.com</t>
  </si>
  <si>
    <t>9898355510</t>
  </si>
  <si>
    <t>House 147, Sector 39, Patna</t>
  </si>
  <si>
    <t>Amit Gupta</t>
  </si>
  <si>
    <t>ABCDE4340F</t>
  </si>
  <si>
    <t>017982584617</t>
  </si>
  <si>
    <t>EMP0155</t>
  </si>
  <si>
    <t>simran.sharma155@company.com</t>
  </si>
  <si>
    <t>9865089931</t>
  </si>
  <si>
    <t>House 138, Sector 23, Lucknow</t>
  </si>
  <si>
    <t>ABCDE9018F</t>
  </si>
  <si>
    <t>475474826084</t>
  </si>
  <si>
    <t>EMP0156</t>
  </si>
  <si>
    <t>nisha.verma156@company.com</t>
  </si>
  <si>
    <t>9826081597</t>
  </si>
  <si>
    <t>House 970, Sector 7, Bengaluru</t>
  </si>
  <si>
    <t>ABCDE7062F</t>
  </si>
  <si>
    <t>584286765504</t>
  </si>
  <si>
    <t>EMP0157</t>
  </si>
  <si>
    <t>aditya.jain157@company.com</t>
  </si>
  <si>
    <t>9879362356</t>
  </si>
  <si>
    <t>House 530, Sector 38, Lucknow</t>
  </si>
  <si>
    <t>ABCDE3406F</t>
  </si>
  <si>
    <t>374569659622</t>
  </si>
  <si>
    <t>EMP0158</t>
  </si>
  <si>
    <t>vikas.sharma158@company.com</t>
  </si>
  <si>
    <t>9870860209</t>
  </si>
  <si>
    <t>House 421, Sector 29, Pune</t>
  </si>
  <si>
    <t>ABCDE1110F</t>
  </si>
  <si>
    <t>121500313346</t>
  </si>
  <si>
    <t>EMP0159</t>
  </si>
  <si>
    <t>saurabh.jain159@company.com</t>
  </si>
  <si>
    <t>9859603261</t>
  </si>
  <si>
    <t>House 273, Sector 14, Lucknow</t>
  </si>
  <si>
    <t>ABCDE1104F</t>
  </si>
  <si>
    <t>637530274735</t>
  </si>
  <si>
    <t>EMP0160</t>
  </si>
  <si>
    <t>saurabh.mishra160@company.com</t>
  </si>
  <si>
    <t>9860308870</t>
  </si>
  <si>
    <t>House 65, Sector 34, Delhi</t>
  </si>
  <si>
    <t>ABCDE7923F</t>
  </si>
  <si>
    <t>052327039372</t>
  </si>
  <si>
    <t>EMP0161</t>
  </si>
  <si>
    <t>vikas.tiwari161@company.com</t>
  </si>
  <si>
    <t>9814820638</t>
  </si>
  <si>
    <t>House 448, Sector 37, Mumbai</t>
  </si>
  <si>
    <t>ABCDE9586F</t>
  </si>
  <si>
    <t>678226370264</t>
  </si>
  <si>
    <t>EMP0162</t>
  </si>
  <si>
    <t>neha.jain162@company.com</t>
  </si>
  <si>
    <t>9859839832</t>
  </si>
  <si>
    <t>House 776, Sector 33, Hyderabad</t>
  </si>
  <si>
    <t>Sneha Tiwari</t>
  </si>
  <si>
    <t>ABCDE8872F</t>
  </si>
  <si>
    <t>960535479048</t>
  </si>
  <si>
    <t>EMP0163</t>
  </si>
  <si>
    <t>Simran Yadav</t>
  </si>
  <si>
    <t>simran.yadav163@company.com</t>
  </si>
  <si>
    <t>9828714292</t>
  </si>
  <si>
    <t>House 807, Sector 10, Pune</t>
  </si>
  <si>
    <t>ABCDE5462F</t>
  </si>
  <si>
    <t>948337322821</t>
  </si>
  <si>
    <t>EMP0164</t>
  </si>
  <si>
    <t>sneha.yadav164@company.com</t>
  </si>
  <si>
    <t>9847779701</t>
  </si>
  <si>
    <t>House 143, Sector 3, Patna</t>
  </si>
  <si>
    <t>ABCDE4760F</t>
  </si>
  <si>
    <t>043741968943</t>
  </si>
  <si>
    <t>EMP0165</t>
  </si>
  <si>
    <t>rahul.mishra165@company.com</t>
  </si>
  <si>
    <t>9864438780</t>
  </si>
  <si>
    <t>House 735, Sector 23, Bengaluru</t>
  </si>
  <si>
    <t>ABCDE4483F</t>
  </si>
  <si>
    <t>709001941171</t>
  </si>
  <si>
    <t>EMP0166</t>
  </si>
  <si>
    <t>aditya.yadav166@company.com</t>
  </si>
  <si>
    <t>9843877266</t>
  </si>
  <si>
    <t>House 141, Sector 18, Pune</t>
  </si>
  <si>
    <t>ABCDE6048F</t>
  </si>
  <si>
    <t>886343112021</t>
  </si>
  <si>
    <t>EMP0167</t>
  </si>
  <si>
    <t>saurabh.gupta167@company.com</t>
  </si>
  <si>
    <t>9895315453</t>
  </si>
  <si>
    <t>House 350, Sector 36, Bengaluru</t>
  </si>
  <si>
    <t>ABCDE7298F</t>
  </si>
  <si>
    <t>394572920792</t>
  </si>
  <si>
    <t>EMP0168</t>
  </si>
  <si>
    <t>vikas.singh168@company.com</t>
  </si>
  <si>
    <t>9867594703</t>
  </si>
  <si>
    <t>House 571, Sector 11, Patna</t>
  </si>
  <si>
    <t>ABCDE7980F</t>
  </si>
  <si>
    <t>568604625316</t>
  </si>
  <si>
    <t>EMP0169</t>
  </si>
  <si>
    <t>rahul.patel169@company.com</t>
  </si>
  <si>
    <t>9852185464</t>
  </si>
  <si>
    <t>House 126, Sector 30, Bengaluru</t>
  </si>
  <si>
    <t>ABCDE9140F</t>
  </si>
  <si>
    <t>244606168068</t>
  </si>
  <si>
    <t>EMP0170</t>
  </si>
  <si>
    <t>rahul.tiwari170@company.com</t>
  </si>
  <si>
    <t>9817017384</t>
  </si>
  <si>
    <t>House 63, Sector 37, Hyderabad</t>
  </si>
  <si>
    <t>ABCDE8908F</t>
  </si>
  <si>
    <t>660870612998</t>
  </si>
  <si>
    <t>EMP0171</t>
  </si>
  <si>
    <t>priya.singh171@company.com</t>
  </si>
  <si>
    <t>9848523516</t>
  </si>
  <si>
    <t>House 432, Sector 50, Hyderabad</t>
  </si>
  <si>
    <t>ABCDE1463F</t>
  </si>
  <si>
    <t>561488709509</t>
  </si>
  <si>
    <t>EMP0172</t>
  </si>
  <si>
    <t>priya.singh172@company.com</t>
  </si>
  <si>
    <t>9848336695</t>
  </si>
  <si>
    <t>House 293, Sector 24, Bengaluru</t>
  </si>
  <si>
    <t>ABCDE3992F</t>
  </si>
  <si>
    <t>090433462936</t>
  </si>
  <si>
    <t>EMP0173</t>
  </si>
  <si>
    <t>ankit.sharma173@company.com</t>
  </si>
  <si>
    <t>9852237346</t>
  </si>
  <si>
    <t>House 37, Sector 39, Patna</t>
  </si>
  <si>
    <t>955251925663</t>
  </si>
  <si>
    <t>EMP0174</t>
  </si>
  <si>
    <t>nisha.yadav174@company.com</t>
  </si>
  <si>
    <t>9870763163</t>
  </si>
  <si>
    <t>House 803, Sector 2, Patna</t>
  </si>
  <si>
    <t>ABCDE9445F</t>
  </si>
  <si>
    <t>465418275815</t>
  </si>
  <si>
    <t>EMP0175</t>
  </si>
  <si>
    <t>rahul.jain175@company.com</t>
  </si>
  <si>
    <t>9894950198</t>
  </si>
  <si>
    <t>House 421, Sector 26, Pune</t>
  </si>
  <si>
    <t>ABCDE4644F</t>
  </si>
  <si>
    <t>575073373657</t>
  </si>
  <si>
    <t>EMP0176</t>
  </si>
  <si>
    <t>aditya.jain176@company.com</t>
  </si>
  <si>
    <t>9851284018</t>
  </si>
  <si>
    <t>House 707, Sector 11, Jaipur</t>
  </si>
  <si>
    <t>ABCDE4470F</t>
  </si>
  <si>
    <t>022604253108</t>
  </si>
  <si>
    <t>EMP0177</t>
  </si>
  <si>
    <t>rahul.singh177@company.com</t>
  </si>
  <si>
    <t>9856479571</t>
  </si>
  <si>
    <t>House 237, Sector 8, Delhi</t>
  </si>
  <si>
    <t>ABCDE4957F</t>
  </si>
  <si>
    <t>636153483880</t>
  </si>
  <si>
    <t>EMP0178</t>
  </si>
  <si>
    <t>priya.yadav178@company.com</t>
  </si>
  <si>
    <t>9865225130</t>
  </si>
  <si>
    <t>House 102, Sector 34, Bengaluru</t>
  </si>
  <si>
    <t>ABCDE4135F</t>
  </si>
  <si>
    <t>595045808308</t>
  </si>
  <si>
    <t>EMP0179</t>
  </si>
  <si>
    <t>Riya Patel</t>
  </si>
  <si>
    <t>riya.patel179@company.com</t>
  </si>
  <si>
    <t>9854720962</t>
  </si>
  <si>
    <t>House 834, Sector 23, Pune</t>
  </si>
  <si>
    <t>ABCDE3332F</t>
  </si>
  <si>
    <t>457327492878</t>
  </si>
  <si>
    <t>EMP0180</t>
  </si>
  <si>
    <t>Amit Yadav</t>
  </si>
  <si>
    <t>amit.yadav180@company.com</t>
  </si>
  <si>
    <t>9821254915</t>
  </si>
  <si>
    <t>House 295, Sector 15, Hyderabad</t>
  </si>
  <si>
    <t>ABCDE8308F</t>
  </si>
  <si>
    <t>146737609099</t>
  </si>
  <si>
    <t>EMP0181</t>
  </si>
  <si>
    <t>Amit Sharma</t>
  </si>
  <si>
    <t>amit.sharma181@company.com</t>
  </si>
  <si>
    <t>9815418947</t>
  </si>
  <si>
    <t>House 395, Sector 46, Delhi</t>
  </si>
  <si>
    <t>ABCDE9770F</t>
  </si>
  <si>
    <t>565892934360</t>
  </si>
  <si>
    <t>EMP0182</t>
  </si>
  <si>
    <t>neha.verma182@company.com</t>
  </si>
  <si>
    <t>9865331488</t>
  </si>
  <si>
    <t>House 349, Sector 13, Delhi</t>
  </si>
  <si>
    <t>ABCDE7796F</t>
  </si>
  <si>
    <t>565092238541</t>
  </si>
  <si>
    <t>EMP0183</t>
  </si>
  <si>
    <t>kavita.sharma183@company.com</t>
  </si>
  <si>
    <t>9898927652</t>
  </si>
  <si>
    <t>House 833, Sector 13, Mumbai</t>
  </si>
  <si>
    <t>ABCDE5322F</t>
  </si>
  <si>
    <t>230828933383</t>
  </si>
  <si>
    <t>EMP0184</t>
  </si>
  <si>
    <t>neha.jain184@company.com</t>
  </si>
  <si>
    <t>9836208554</t>
  </si>
  <si>
    <t>House 630, Sector 20, Bengaluru</t>
  </si>
  <si>
    <t>ABCDE1837F</t>
  </si>
  <si>
    <t>205601886025</t>
  </si>
  <si>
    <t>EMP0185</t>
  </si>
  <si>
    <t>simran.sharma185@company.com</t>
  </si>
  <si>
    <t>9845967738</t>
  </si>
  <si>
    <t>House 357, Sector 2, Delhi</t>
  </si>
  <si>
    <t>ABCDE5310F</t>
  </si>
  <si>
    <t>133914815173</t>
  </si>
  <si>
    <t>EMP0186</t>
  </si>
  <si>
    <t>pooja.singh186@company.com</t>
  </si>
  <si>
    <t>9891067631</t>
  </si>
  <si>
    <t>House 154, Sector 9, Hyderabad</t>
  </si>
  <si>
    <t>ABCDE4289F</t>
  </si>
  <si>
    <t>778680064211</t>
  </si>
  <si>
    <t>EMP0187</t>
  </si>
  <si>
    <t>rahul.mishra187@company.com</t>
  </si>
  <si>
    <t>9897602092</t>
  </si>
  <si>
    <t>House 865, Sector 9, Patna</t>
  </si>
  <si>
    <t>ABCDE1184F</t>
  </si>
  <si>
    <t>891694163828</t>
  </si>
  <si>
    <t>EMP0188</t>
  </si>
  <si>
    <t>nisha.kumar188@company.com</t>
  </si>
  <si>
    <t>9843836246</t>
  </si>
  <si>
    <t>House 716, Sector 36, Bengaluru</t>
  </si>
  <si>
    <t>ABCDE8998F</t>
  </si>
  <si>
    <t>084351008211</t>
  </si>
  <si>
    <t>EMP0189</t>
  </si>
  <si>
    <t>priya.kumar189@company.com</t>
  </si>
  <si>
    <t>9835838548</t>
  </si>
  <si>
    <t>House 292, Sector 11, Patna</t>
  </si>
  <si>
    <t>ABCDE9169F</t>
  </si>
  <si>
    <t>402828996968</t>
  </si>
  <si>
    <t>EMP0190</t>
  </si>
  <si>
    <t>simran.verma190@company.com</t>
  </si>
  <si>
    <t>9893830572</t>
  </si>
  <si>
    <t>House 25, Sector 31, Delhi</t>
  </si>
  <si>
    <t>ABCDE6248F</t>
  </si>
  <si>
    <t>840758175977</t>
  </si>
  <si>
    <t>EMP0191</t>
  </si>
  <si>
    <t>rohit.jain191@company.com</t>
  </si>
  <si>
    <t>9812653914</t>
  </si>
  <si>
    <t>House 885, Sector 17, Hyderabad</t>
  </si>
  <si>
    <t>ABCDE4589F</t>
  </si>
  <si>
    <t>602449084873</t>
  </si>
  <si>
    <t>EMP0192</t>
  </si>
  <si>
    <t>Saurabh Verma</t>
  </si>
  <si>
    <t>saurabh.verma192@company.com</t>
  </si>
  <si>
    <t>9859918664</t>
  </si>
  <si>
    <t>House 385, Sector 7, Bengaluru</t>
  </si>
  <si>
    <t>ABCDE5166F</t>
  </si>
  <si>
    <t>562696830214</t>
  </si>
  <si>
    <t>EMP0193</t>
  </si>
  <si>
    <t>ankit.patel193@company.com</t>
  </si>
  <si>
    <t>9842788039</t>
  </si>
  <si>
    <t>House 324, Sector 35, Patna</t>
  </si>
  <si>
    <t>ABCDE7438F</t>
  </si>
  <si>
    <t>527631717359</t>
  </si>
  <si>
    <t>EMP0194</t>
  </si>
  <si>
    <t>neha.tiwari194@company.com</t>
  </si>
  <si>
    <t>9813224458</t>
  </si>
  <si>
    <t>House 641, Sector 27, Mumbai</t>
  </si>
  <si>
    <t>ABCDE9323F</t>
  </si>
  <si>
    <t>685410400708</t>
  </si>
  <si>
    <t>EMP0195</t>
  </si>
  <si>
    <t>pooja.mishra195@company.com</t>
  </si>
  <si>
    <t>9839523582</t>
  </si>
  <si>
    <t>House 585, Sector 13, Hyderabad</t>
  </si>
  <si>
    <t>Karan Sharma</t>
  </si>
  <si>
    <t>ABCDE1728F</t>
  </si>
  <si>
    <t>467704561033</t>
  </si>
  <si>
    <t>EMP0196</t>
  </si>
  <si>
    <t>sneha.jain196@company.com</t>
  </si>
  <si>
    <t>9886303295</t>
  </si>
  <si>
    <t>House 73, Sector 38, Lucknow</t>
  </si>
  <si>
    <t>ABCDE7914F</t>
  </si>
  <si>
    <t>935464177984</t>
  </si>
  <si>
    <t>EMP0197</t>
  </si>
  <si>
    <t>vikas.sharma197@company.com</t>
  </si>
  <si>
    <t>9825715658</t>
  </si>
  <si>
    <t>House 895, Sector 39, Lucknow</t>
  </si>
  <si>
    <t>ABCDE4512F</t>
  </si>
  <si>
    <t>506564001298</t>
  </si>
  <si>
    <t>EMP0198</t>
  </si>
  <si>
    <t>saurabh.gupta198@company.com</t>
  </si>
  <si>
    <t>9819561054</t>
  </si>
  <si>
    <t>House 314, Sector 14, Hyderabad</t>
  </si>
  <si>
    <t>ABCDE1398F</t>
  </si>
  <si>
    <t>759820570806</t>
  </si>
  <si>
    <t>EMP0199</t>
  </si>
  <si>
    <t>rohit.singh199@company.com</t>
  </si>
  <si>
    <t>9842191590</t>
  </si>
  <si>
    <t>House 200, Sector 35, Bengaluru</t>
  </si>
  <si>
    <t>ABCDE6064F</t>
  </si>
  <si>
    <t>229142855320</t>
  </si>
  <si>
    <t>EMP0200</t>
  </si>
  <si>
    <t>saurabh.yadav200@company.com</t>
  </si>
  <si>
    <t>9817370524</t>
  </si>
  <si>
    <t>House 742, Sector 25, Delhi</t>
  </si>
  <si>
    <t>ABCDE8941F</t>
  </si>
  <si>
    <t>566009979174</t>
  </si>
  <si>
    <t>EMP0201</t>
  </si>
  <si>
    <t>rohit.yadav201@company.com</t>
  </si>
  <si>
    <t>9849158492</t>
  </si>
  <si>
    <t>House 195, Sector 1, Delhi</t>
  </si>
  <si>
    <t>ABCDE1360F</t>
  </si>
  <si>
    <t>326709444450</t>
  </si>
  <si>
    <t>EMP0202</t>
  </si>
  <si>
    <t>saurabh.yadav202@company.com</t>
  </si>
  <si>
    <t>9872678961</t>
  </si>
  <si>
    <t>House 481, Sector 40, Jaipur</t>
  </si>
  <si>
    <t>ABCDE7141F</t>
  </si>
  <si>
    <t>399531829404</t>
  </si>
  <si>
    <t>EMP0203</t>
  </si>
  <si>
    <t>neha.tiwari203@company.com</t>
  </si>
  <si>
    <t>9861299360</t>
  </si>
  <si>
    <t>House 146, Sector 7, Pune</t>
  </si>
  <si>
    <t>Amit Kumar</t>
  </si>
  <si>
    <t>ABCDE6455F</t>
  </si>
  <si>
    <t>806773067572</t>
  </si>
  <si>
    <t>EMP0204</t>
  </si>
  <si>
    <t>pooja.gupta204@company.com</t>
  </si>
  <si>
    <t>9856220802</t>
  </si>
  <si>
    <t>House 432, Sector 43, Hyderabad</t>
  </si>
  <si>
    <t>ABCDE9368F</t>
  </si>
  <si>
    <t>597457001163</t>
  </si>
  <si>
    <t>EMP0205</t>
  </si>
  <si>
    <t>ankit.verma205@company.com</t>
  </si>
  <si>
    <t>9842667874</t>
  </si>
  <si>
    <t>House 493, Sector 48, Mumbai</t>
  </si>
  <si>
    <t>ABCDE2398F</t>
  </si>
  <si>
    <t>894177992818</t>
  </si>
  <si>
    <t>EMP0206</t>
  </si>
  <si>
    <t>aditya.verma206@company.com</t>
  </si>
  <si>
    <t>9836738692</t>
  </si>
  <si>
    <t>House 434, Sector 50, Delhi</t>
  </si>
  <si>
    <t>ABCDE1481F</t>
  </si>
  <si>
    <t>781033054628</t>
  </si>
  <si>
    <t>EMP0207</t>
  </si>
  <si>
    <t>nisha.mishra207@company.com</t>
  </si>
  <si>
    <t>9817845702</t>
  </si>
  <si>
    <t>House 635, Sector 32, Hyderabad</t>
  </si>
  <si>
    <t>ABCDE9367F</t>
  </si>
  <si>
    <t>480527817794</t>
  </si>
  <si>
    <t>EMP0208</t>
  </si>
  <si>
    <t>sneha.verma208@company.com</t>
  </si>
  <si>
    <t>9893483541</t>
  </si>
  <si>
    <t>House 978, Sector 11, Delhi</t>
  </si>
  <si>
    <t>ABCDE7890F</t>
  </si>
  <si>
    <t>466715991757</t>
  </si>
  <si>
    <t>EMP0209</t>
  </si>
  <si>
    <t>aditya.gupta209@company.com</t>
  </si>
  <si>
    <t>9872646078</t>
  </si>
  <si>
    <t>House 644, Sector 22, Patna</t>
  </si>
  <si>
    <t>ABCDE4951F</t>
  </si>
  <si>
    <t>110982175444</t>
  </si>
  <si>
    <t>EMP0210</t>
  </si>
  <si>
    <t>vikas.mishra210@company.com</t>
  </si>
  <si>
    <t>9825006864</t>
  </si>
  <si>
    <t>House 362, Sector 33, Hyderabad</t>
  </si>
  <si>
    <t>ABCDE2996F</t>
  </si>
  <si>
    <t>754438861881</t>
  </si>
  <si>
    <t>EMP0211</t>
  </si>
  <si>
    <t>rahul.yadav211@company.com</t>
  </si>
  <si>
    <t>9821415836</t>
  </si>
  <si>
    <t>House 979, Sector 22, Jaipur</t>
  </si>
  <si>
    <t>ABCDE3694F</t>
  </si>
  <si>
    <t>177614688620</t>
  </si>
  <si>
    <t>EMP0212</t>
  </si>
  <si>
    <t>neha.sharma212@company.com</t>
  </si>
  <si>
    <t>9866186177</t>
  </si>
  <si>
    <t>House 676, Sector 21, Jaipur</t>
  </si>
  <si>
    <t>ABCDE6074F</t>
  </si>
  <si>
    <t>761903590421</t>
  </si>
  <si>
    <t>EMP0213</t>
  </si>
  <si>
    <t>rohit.singh213@company.com</t>
  </si>
  <si>
    <t>9896073156</t>
  </si>
  <si>
    <t>House 331, Sector 47, Hyderabad</t>
  </si>
  <si>
    <t>ABCDE2074F</t>
  </si>
  <si>
    <t>512280525033</t>
  </si>
  <si>
    <t>EMP0214</t>
  </si>
  <si>
    <t>saurabh.patel214@company.com</t>
  </si>
  <si>
    <t>9849552189</t>
  </si>
  <si>
    <t>House 695, Sector 27, Delhi</t>
  </si>
  <si>
    <t>ABCDE1575F</t>
  </si>
  <si>
    <t>778234785216</t>
  </si>
  <si>
    <t>EMP0215</t>
  </si>
  <si>
    <t>riya.sharma215@company.com</t>
  </si>
  <si>
    <t>9850782097</t>
  </si>
  <si>
    <t>House 916, Sector 2, Lucknow</t>
  </si>
  <si>
    <t>ABCDE7752F</t>
  </si>
  <si>
    <t>069941379750</t>
  </si>
  <si>
    <t>EMP0216</t>
  </si>
  <si>
    <t>sneha.yadav216@company.com</t>
  </si>
  <si>
    <t>9855302161</t>
  </si>
  <si>
    <t>House 49, Sector 34, Pune</t>
  </si>
  <si>
    <t>ABCDE2132F</t>
  </si>
  <si>
    <t>383111473914</t>
  </si>
  <si>
    <t>EMP0217</t>
  </si>
  <si>
    <t>sneha.tiwari217@company.com</t>
  </si>
  <si>
    <t>9850586555</t>
  </si>
  <si>
    <t>House 118, Sector 21, Hyderabad</t>
  </si>
  <si>
    <t>ABCDE2169F</t>
  </si>
  <si>
    <t>235141921493</t>
  </si>
  <si>
    <t>EMP0218</t>
  </si>
  <si>
    <t>priya.patel218@company.com</t>
  </si>
  <si>
    <t>9854111027</t>
  </si>
  <si>
    <t>House 115, Sector 30, Delhi</t>
  </si>
  <si>
    <t>ABCDE5482F</t>
  </si>
  <si>
    <t>074382110474</t>
  </si>
  <si>
    <t>EMP0219</t>
  </si>
  <si>
    <t>priya.kumar219@company.com</t>
  </si>
  <si>
    <t>9843098212</t>
  </si>
  <si>
    <t>House 967, Sector 48, Jaipur</t>
  </si>
  <si>
    <t>ABCDE3724F</t>
  </si>
  <si>
    <t>261515854989</t>
  </si>
  <si>
    <t>EMP0220</t>
  </si>
  <si>
    <t>kavita.yadav220@company.com</t>
  </si>
  <si>
    <t>9814824422</t>
  </si>
  <si>
    <t>House 396, Sector 41, Pune</t>
  </si>
  <si>
    <t>ABCDE6656F</t>
  </si>
  <si>
    <t>839592698045</t>
  </si>
  <si>
    <t>EMP0221</t>
  </si>
  <si>
    <t>vikas.tiwari221@company.com</t>
  </si>
  <si>
    <t>9876421856</t>
  </si>
  <si>
    <t>House 965, Sector 26, Hyderabad</t>
  </si>
  <si>
    <t>ABCDE6577F</t>
  </si>
  <si>
    <t>089689408081</t>
  </si>
  <si>
    <t>EMP0222</t>
  </si>
  <si>
    <t>vikas.verma222@company.com</t>
  </si>
  <si>
    <t>9856676248</t>
  </si>
  <si>
    <t>House 742, Sector 7, Delhi</t>
  </si>
  <si>
    <t>ABCDE5679F</t>
  </si>
  <si>
    <t>302539043582</t>
  </si>
  <si>
    <t>EMP0223</t>
  </si>
  <si>
    <t>nisha.verma223@company.com</t>
  </si>
  <si>
    <t>9868311598</t>
  </si>
  <si>
    <t>House 699, Sector 10, Jaipur</t>
  </si>
  <si>
    <t>ABCDE1215F</t>
  </si>
  <si>
    <t>420494582848</t>
  </si>
  <si>
    <t>EMP0224</t>
  </si>
  <si>
    <t>amit.sharma224@company.com</t>
  </si>
  <si>
    <t>9894101114</t>
  </si>
  <si>
    <t>House 265, Sector 20, Pune</t>
  </si>
  <si>
    <t>Ankit Mishra</t>
  </si>
  <si>
    <t>ABCDE4202F</t>
  </si>
  <si>
    <t>945930488258</t>
  </si>
  <si>
    <t>EMP0225</t>
  </si>
  <si>
    <t>ankit.kumar225@company.com</t>
  </si>
  <si>
    <t>9821263518</t>
  </si>
  <si>
    <t>House 734, Sector 21, Lucknow</t>
  </si>
  <si>
    <t>ABCDE9486F</t>
  </si>
  <si>
    <t>735895749437</t>
  </si>
  <si>
    <t>EMP0226</t>
  </si>
  <si>
    <t>nisha.gupta226@company.com</t>
  </si>
  <si>
    <t>9869762803</t>
  </si>
  <si>
    <t>House 42, Sector 9, Delhi</t>
  </si>
  <si>
    <t>ABCDE4097F</t>
  </si>
  <si>
    <t>105923099774</t>
  </si>
  <si>
    <t>EMP0227</t>
  </si>
  <si>
    <t>rahul.yadav227@company.com</t>
  </si>
  <si>
    <t>9876096725</t>
  </si>
  <si>
    <t>House 173, Sector 3, Hyderabad</t>
  </si>
  <si>
    <t>ABCDE2570F</t>
  </si>
  <si>
    <t>079788479340</t>
  </si>
  <si>
    <t>EMP0228</t>
  </si>
  <si>
    <t>amit.tiwari228@company.com</t>
  </si>
  <si>
    <t>9891701227</t>
  </si>
  <si>
    <t>House 529, Sector 5, Mumbai</t>
  </si>
  <si>
    <t>ABCDE9420F</t>
  </si>
  <si>
    <t>821658468655</t>
  </si>
  <si>
    <t>EMP0229</t>
  </si>
  <si>
    <t>rohit.jain229@company.com</t>
  </si>
  <si>
    <t>9892814630</t>
  </si>
  <si>
    <t>House 732, Sector 1, Patna</t>
  </si>
  <si>
    <t>ABCDE8094F</t>
  </si>
  <si>
    <t>451069341305</t>
  </si>
  <si>
    <t>EMP0230</t>
  </si>
  <si>
    <t>saurabh.jain230@company.com</t>
  </si>
  <si>
    <t>9882482074</t>
  </si>
  <si>
    <t>House 953, Sector 33, Jaipur</t>
  </si>
  <si>
    <t>ABCDE6453F</t>
  </si>
  <si>
    <t>217769436512</t>
  </si>
  <si>
    <t>EMP0231</t>
  </si>
  <si>
    <t>kavita.verma231@company.com</t>
  </si>
  <si>
    <t>9823736206</t>
  </si>
  <si>
    <t>House 13, Sector 8, Mumbai</t>
  </si>
  <si>
    <t>ABCDE2437F</t>
  </si>
  <si>
    <t>532857994141</t>
  </si>
  <si>
    <t>EMP0232</t>
  </si>
  <si>
    <t>amit.kumar232@company.com</t>
  </si>
  <si>
    <t>9841328553</t>
  </si>
  <si>
    <t>House 814, Sector 12, Pune</t>
  </si>
  <si>
    <t>ABCDE5416F</t>
  </si>
  <si>
    <t>054306919373</t>
  </si>
  <si>
    <t>EMP0233</t>
  </si>
  <si>
    <t>Saurabh Kumar</t>
  </si>
  <si>
    <t>saurabh.kumar233@company.com</t>
  </si>
  <si>
    <t>9870491403</t>
  </si>
  <si>
    <t>House 754, Sector 35, Pune</t>
  </si>
  <si>
    <t>ABCDE7272F</t>
  </si>
  <si>
    <t>982718158407</t>
  </si>
  <si>
    <t>EMP0234</t>
  </si>
  <si>
    <t>rahul.singh234@company.com</t>
  </si>
  <si>
    <t>9829804085</t>
  </si>
  <si>
    <t>House 84, Sector 1, Lucknow</t>
  </si>
  <si>
    <t>ABCDE4374F</t>
  </si>
  <si>
    <t>518549268466</t>
  </si>
  <si>
    <t>EMP0235</t>
  </si>
  <si>
    <t>nisha.kumar235@company.com</t>
  </si>
  <si>
    <t>9878274871</t>
  </si>
  <si>
    <t>House 96, Sector 32, Delhi</t>
  </si>
  <si>
    <t>ABCDE3780F</t>
  </si>
  <si>
    <t>780796001412</t>
  </si>
  <si>
    <t>EMP0236</t>
  </si>
  <si>
    <t>sneha.tiwari236@company.com</t>
  </si>
  <si>
    <t>9868031699</t>
  </si>
  <si>
    <t>House 636, Sector 21, Mumbai</t>
  </si>
  <si>
    <t>ABCDE8356F</t>
  </si>
  <si>
    <t>102797204456</t>
  </si>
  <si>
    <t>EMP0237</t>
  </si>
  <si>
    <t>neha.patel237@company.com</t>
  </si>
  <si>
    <t>9833824130</t>
  </si>
  <si>
    <t>House 731, Sector 44, Lucknow</t>
  </si>
  <si>
    <t>ABCDE3431F</t>
  </si>
  <si>
    <t>162094584112</t>
  </si>
  <si>
    <t>EMP0238</t>
  </si>
  <si>
    <t>Kavita Kumar</t>
  </si>
  <si>
    <t>kavita.kumar238@company.com</t>
  </si>
  <si>
    <t>9815225530</t>
  </si>
  <si>
    <t>House 68, Sector 46, Pune</t>
  </si>
  <si>
    <t>ABCDE2308F</t>
  </si>
  <si>
    <t>233623826584</t>
  </si>
  <si>
    <t>EMP0239</t>
  </si>
  <si>
    <t>vikas.mishra239@company.com</t>
  </si>
  <si>
    <t>9811074331</t>
  </si>
  <si>
    <t>House 205, Sector 40, Delhi</t>
  </si>
  <si>
    <t>ABCDE6804F</t>
  </si>
  <si>
    <t>959942988453</t>
  </si>
  <si>
    <t>EMP0240</t>
  </si>
  <si>
    <t>rohit.yadav240@company.com</t>
  </si>
  <si>
    <t>9889339890</t>
  </si>
  <si>
    <t>House 481, Sector 15, Patna</t>
  </si>
  <si>
    <t>ABCDE8739F</t>
  </si>
  <si>
    <t>365822715084</t>
  </si>
  <si>
    <t>EMP0241</t>
  </si>
  <si>
    <t>neha.kumar241@company.com</t>
  </si>
  <si>
    <t>9857649031</t>
  </si>
  <si>
    <t>House 624, Sector 7, Jaipur</t>
  </si>
  <si>
    <t>ABCDE4748F</t>
  </si>
  <si>
    <t>828190698966</t>
  </si>
  <si>
    <t>EMP0242</t>
  </si>
  <si>
    <t>priya.gupta242@company.com</t>
  </si>
  <si>
    <t>9895053774</t>
  </si>
  <si>
    <t>House 184, Sector 46, Mumbai</t>
  </si>
  <si>
    <t>ABCDE9684F</t>
  </si>
  <si>
    <t>815097963098</t>
  </si>
  <si>
    <t>EMP0243</t>
  </si>
  <si>
    <t>kavita.jain243@company.com</t>
  </si>
  <si>
    <t>9890062433</t>
  </si>
  <si>
    <t>House 919, Sector 31, Patna</t>
  </si>
  <si>
    <t>ABCDE5831F</t>
  </si>
  <si>
    <t>004437478881</t>
  </si>
  <si>
    <t>EMP0244</t>
  </si>
  <si>
    <t>sneha.tiwari244@company.com</t>
  </si>
  <si>
    <t>9861755337</t>
  </si>
  <si>
    <t>House 892, Sector 14, Delhi</t>
  </si>
  <si>
    <t>ABCDE5549F</t>
  </si>
  <si>
    <t>051790151838</t>
  </si>
  <si>
    <t>EMP0245</t>
  </si>
  <si>
    <t>saurabh.kumar245@company.com</t>
  </si>
  <si>
    <t>9822774650</t>
  </si>
  <si>
    <t>House 175, Sector 44, Jaipur</t>
  </si>
  <si>
    <t>ABCDE3145F</t>
  </si>
  <si>
    <t>947768028479</t>
  </si>
  <si>
    <t>EMP0246</t>
  </si>
  <si>
    <t>ankit.singh246@company.com</t>
  </si>
  <si>
    <t>9824051303</t>
  </si>
  <si>
    <t>House 139, Sector 47, Bengaluru</t>
  </si>
  <si>
    <t>ABCDE3830F</t>
  </si>
  <si>
    <t>386364132714</t>
  </si>
  <si>
    <t>EMP0247</t>
  </si>
  <si>
    <t>priya.mishra247@company.com</t>
  </si>
  <si>
    <t>9884984906</t>
  </si>
  <si>
    <t>House 609, Sector 44, Bengaluru</t>
  </si>
  <si>
    <t>ABCDE2407F</t>
  </si>
  <si>
    <t>758137774580</t>
  </si>
  <si>
    <t>EMP0248</t>
  </si>
  <si>
    <t>ankit.patel248@company.com</t>
  </si>
  <si>
    <t>9876963673</t>
  </si>
  <si>
    <t>House 455, Sector 6, Lucknow</t>
  </si>
  <si>
    <t>ABCDE8648F</t>
  </si>
  <si>
    <t>886633559472</t>
  </si>
  <si>
    <t>EMP0249</t>
  </si>
  <si>
    <t>kavita.verma249@company.com</t>
  </si>
  <si>
    <t>9884412546</t>
  </si>
  <si>
    <t>House 9, Sector 31, Jaipur</t>
  </si>
  <si>
    <t>ABCDE2434F</t>
  </si>
  <si>
    <t>382689082635</t>
  </si>
  <si>
    <t>EMP0250</t>
  </si>
  <si>
    <t>riya.tiwari250@company.com</t>
  </si>
  <si>
    <t>9841503472</t>
  </si>
  <si>
    <t>House 107, Sector 36, Jaipur</t>
  </si>
  <si>
    <t>ABCDE5204F</t>
  </si>
  <si>
    <t>227414218694</t>
  </si>
  <si>
    <t>Part</t>
  </si>
  <si>
    <t>Q#</t>
  </si>
  <si>
    <t>Question</t>
  </si>
  <si>
    <t>Function Used</t>
  </si>
  <si>
    <t>Input (Employee ID)</t>
  </si>
  <si>
    <t>Formula</t>
  </si>
  <si>
    <t>Result</t>
  </si>
  <si>
    <t>PART 1 - LEFT, RIGHT, MID, LEN</t>
  </si>
  <si>
    <t>Q1</t>
  </si>
  <si>
    <t>Extract the first 3 characters from Employee ID</t>
  </si>
  <si>
    <t>LEFT</t>
  </si>
  <si>
    <t>'=LEFT(E3,3)</t>
  </si>
  <si>
    <t>Q2</t>
  </si>
  <si>
    <t>Extract the last 4 digits from Employee ID</t>
  </si>
  <si>
    <t>RIGHT</t>
  </si>
  <si>
    <t>'=RIGHT(E4,4)</t>
  </si>
  <si>
    <t>Q3</t>
  </si>
  <si>
    <t>Extract the first 5 characters from Phone Number</t>
  </si>
  <si>
    <t>'=LEFT(INDEX(Employee_Text_Data!F:F,MATCH(E5,Employee_Text_Data!A:A,0)),5)</t>
  </si>
  <si>
    <t>Q4</t>
  </si>
  <si>
    <t>Extract the last 4 digits of Phone Number</t>
  </si>
  <si>
    <t>'=RIGHT(INDEX(Employee_Text_Data!F:F,MATCH(E6,Employee_Text_Data!A:A,0)),4)</t>
  </si>
  <si>
    <t>Q5</t>
  </si>
  <si>
    <t>Extract the first 6 characters of PAN Number</t>
  </si>
  <si>
    <t>'=LEFT(INDEX(Employee_Text_Data!Q:Q,MATCH(E7,Employee_Text_Data!A:A,0)),6)</t>
  </si>
  <si>
    <t>Q6</t>
  </si>
  <si>
    <t>Extract the last 4 digits of Aadhaar Number</t>
  </si>
  <si>
    <t>'=RIGHT(INDEX(Employee_Text_Data!R:R,MATCH(E8,Employee_Text_Data!A:A,0)),4)</t>
  </si>
  <si>
    <t>Q7</t>
  </si>
  <si>
    <t>Extract the first word from Employee Name</t>
  </si>
  <si>
    <t>LEFT+FIND</t>
  </si>
  <si>
    <t>'=LEFT(INDEX(Employee_Text_Data!B:B,MATCH(E9,Employee_Text_Data!A:A,0)),FIND(" ",INDEX(Employee_Text_Data!B:B,MATCH(E9,Employee_Text_Data!A:A,0)))-1)</t>
  </si>
  <si>
    <t>Q8</t>
  </si>
  <si>
    <t>Extract the last name from Employee Name using MID</t>
  </si>
  <si>
    <t>MID+FIND</t>
  </si>
  <si>
    <t>'=MID(INDEX(Employee_Text_Data!B:B,MATCH(E10,Employee_Text_Data!A:A,0)),FIND(" ",INDEX(Employee_Text_Data!B:B,MATCH(E10,Employee_Text_Data!A:A,0)))+1,LEN(INDEX(Employee_Text_Data!B:B,MATCH(E10,Employee_Text_Data!A:A,0))))</t>
  </si>
  <si>
    <t>Q9</t>
  </si>
  <si>
    <t>Find the total length of Employee Name</t>
  </si>
  <si>
    <t>LEN</t>
  </si>
  <si>
    <t>'=LEN(INDEX(Employee_Text_Data!B:B,MATCH(E11,Employee_Text_Data!A:A,0)))</t>
  </si>
  <si>
    <t>Q10</t>
  </si>
  <si>
    <t>Find the total number of characters in Email Address</t>
  </si>
  <si>
    <t>'=LEN(INDEX(Employee_Text_Data!E:E,MATCH(E12,Employee_Text_Data!A:A,0)))</t>
  </si>
  <si>
    <t>PART 2 - TRIM &amp; CLEAN</t>
  </si>
  <si>
    <t>Q11</t>
  </si>
  <si>
    <t>Remove extra spaces from Remarks</t>
  </si>
  <si>
    <t>TRIM</t>
  </si>
  <si>
    <t>'=TRIM(INDEX(Employee_Text_Data!T:T,MATCH(E14,Employee_Text_Data!A:A,0)))</t>
  </si>
  <si>
    <t>Q12</t>
  </si>
  <si>
    <t>Remove extra spaces from Employee Name</t>
  </si>
  <si>
    <t>'=TRIM(INDEX(Employee_Text_Data!B:B,MATCH(E15,Employee_Text_Data!A:A,0)))</t>
  </si>
  <si>
    <t>Q13</t>
  </si>
  <si>
    <t>Clean hidden characters from Address</t>
  </si>
  <si>
    <t>CLEAN</t>
  </si>
  <si>
    <t>'=CLEAN(INDEX(Employee_Text_Data!G:G,MATCH(E16,Employee_Text_Data!A:A,0)))</t>
  </si>
  <si>
    <t>Q14</t>
  </si>
  <si>
    <t>Clean hidden characters from Remarks</t>
  </si>
  <si>
    <t>'=CLEAN(INDEX(Employee_Text_Data!T:T,MATCH(E17,Employee_Text_Data!A:A,0)))</t>
  </si>
  <si>
    <t>Q15</t>
  </si>
  <si>
    <t>Apply TRIM and CLEAN together on Remarks</t>
  </si>
  <si>
    <t>TRIM+CLEAN</t>
  </si>
  <si>
    <t>'=TRIM(CLEAN(INDEX(Employee_Text_Data!T:T,MATCH(E18,Employee_Text_Data!A:A,0))))</t>
  </si>
  <si>
    <t>Q16</t>
  </si>
  <si>
    <t>Find the length of Employee Name before TRIM</t>
  </si>
  <si>
    <t>'=LEN(INDEX(Employee_Text_Data!B:B,MATCH(E19,Employee_Text_Data!A:A,0)))</t>
  </si>
  <si>
    <t>Q17</t>
  </si>
  <si>
    <t>Find the length of Employee Name after TRIM</t>
  </si>
  <si>
    <t>LEN+TRIM</t>
  </si>
  <si>
    <t>'=LEN(TRIM(INDEX(Employee_Text_Data!B:B,MATCH(E20,Employee_Text_Data!A:A,0))))</t>
  </si>
  <si>
    <t>Q18</t>
  </si>
  <si>
    <t>Compare both lengths to identify extra spaces (using Remarks, which has real extra spaces)</t>
  </si>
  <si>
    <t>LEN comparison</t>
  </si>
  <si>
    <t>'=LEN(INDEX(Employee_Text_Data!T:T,MATCH(E21,Employee_Text_Data!A:A,0)))-LEN(TRIM(INDEX(Employee_Text_Data!T:T,MATCH(E21,Employee_Text_Data!A:A,0))))</t>
  </si>
  <si>
    <t>PART 3 - CONCAT, CONCATENATE &amp; TEXTJOIN</t>
  </si>
  <si>
    <t>Q19</t>
  </si>
  <si>
    <t>Join First Name and Last Name</t>
  </si>
  <si>
    <t>CONCATENATE</t>
  </si>
  <si>
    <t>'=CONCATENATE(INDEX(Employee_Text_Data!C:C,MATCH(E23,Employee_Text_Data!A:A,0))," ",INDEX(Employee_Text_Data!D:D,MATCH(E23,Employee_Text_Data!A:A,0)))</t>
  </si>
  <si>
    <t>Q20</t>
  </si>
  <si>
    <t>Create Full Address using Address, City, State and Country</t>
  </si>
  <si>
    <t>CONCAT</t>
  </si>
  <si>
    <t>'=CONCAT(INDEX(Employee_Text_Data!G:G,MATCH(E24,Employee_Text_Data!A:A,0)),", ",INDEX(Employee_Text_Data!H:H,MATCH(E24,Employee_Text_Data!A:A,0)),", ",INDEX(Employee_Text_Data!I:I,MATCH(E24,Employee_Text_Data!A:A,0)),", ",INDEX(Employee_Text_Data!J:J,MATCH(E24,Employee_Text_Data!A:A,0)))</t>
  </si>
  <si>
    <t>Q21</t>
  </si>
  <si>
    <t>Employee Details, e.g. "EMP0001 - Rahul Sharma"</t>
  </si>
  <si>
    <t>'=CONCATENATE(E25," - ",INDEX(Employee_Text_Data!B:B,MATCH(E25,Employee_Text_Data!A:A,0)))</t>
  </si>
  <si>
    <t>Q22</t>
  </si>
  <si>
    <t>Join Employee Name and Department</t>
  </si>
  <si>
    <t>TEXTJOIN</t>
  </si>
  <si>
    <t>'=TEXTJOIN(" - ",TRUE,INDEX(Employee_Text_Data!B:B,MATCH(E26,Employee_Text_Data!A:A,0)),INDEX(Employee_Text_Data!K:K,MATCH(E26,Employee_Text_Data!A:A,0)))</t>
  </si>
  <si>
    <t>Q23</t>
  </si>
  <si>
    <t>Join Employee Name, Designation and Branch using TEXTJOIN</t>
  </si>
  <si>
    <t>'=TEXTJOIN(" | ",TRUE,INDEX(Employee_Text_Data!B:B,MATCH(E27,Employee_Text_Data!A:A,0)),INDEX(Employee_Text_Data!L:L,MATCH(E27,Employee_Text_Data!A:A,0)),INDEX(Employee_Text_Data!M:M,MATCH(E27,Employee_Text_Data!A:A,0)))</t>
  </si>
  <si>
    <t>Q24</t>
  </si>
  <si>
    <t>Create Email Signature, e.g. "Rahul Sharma | IT | North Hub"</t>
  </si>
  <si>
    <t>'=TEXTJOIN(" | ",TRUE,INDEX(Employee_Text_Data!B:B,MATCH(E28,Employee_Text_Data!A:A,0)),INDEX(Employee_Text_Data!K:K,MATCH(E28,Employee_Text_Data!A:A,0)),INDEX(Employee_Text_Data!M:M,MATCH(E28,Employee_Text_Data!A:A,0)))</t>
  </si>
  <si>
    <t>Q25</t>
  </si>
  <si>
    <t>Create Product Description, e.g. "Laptop - Electronics"</t>
  </si>
  <si>
    <t>'=TEXTJOIN(" - ",TRUE,INDEX(Employee_Text_Data!O:O,MATCH(E29,Employee_Text_Data!A:A,0)),INDEX(Employee_Text_Data!P:P,MATCH(E29,Employee_Text_Data!A:A,0)))</t>
  </si>
  <si>
    <t>Q26</t>
  </si>
  <si>
    <t>Create Complete Employee Profile in one cell</t>
  </si>
  <si>
    <t>'=TEXTJOIN(" | ",TRUE,E30,INDEX(Employee_Text_Data!B:B,MATCH(E30,Employee_Text_Data!A:A,0)),INDEX(Employee_Text_Data!K:K,MATCH(E30,Employee_Text_Data!A:A,0)),INDEX(Employee_Text_Data!L:L,MATCH(E30,Employee_Text_Data!A:A,0)),INDEX(Employee_Text_Data!M:M,MATCH(E30,Employee_Text_Data!A:A,0)),INDEX(Employee_Text_Data!S:S,MATCH(E30,Employee_Text_Data!A:A,0)))</t>
  </si>
  <si>
    <t>PART 4 - FIND &amp; SEARCH</t>
  </si>
  <si>
    <t>Q27</t>
  </si>
  <si>
    <t>Find the position of @ in Email</t>
  </si>
  <si>
    <t>FIND</t>
  </si>
  <si>
    <t>'=FIND("@",INDEX(Employee_Text_Data!E:E,MATCH(E32,Employee_Text_Data!A:A,0)))</t>
  </si>
  <si>
    <t>Q28</t>
  </si>
  <si>
    <t>Find the position of "." in Email</t>
  </si>
  <si>
    <t>'=FIND(".",INDEX(Employee_Text_Data!E:E,MATCH(E33,Employee_Text_Data!A:A,0)))</t>
  </si>
  <si>
    <t>Q29</t>
  </si>
  <si>
    <t>Find the position of the word "Hub" in Branch</t>
  </si>
  <si>
    <t>'=FIND("Hub",INDEX(Employee_Text_Data!M:M,MATCH(E34,Employee_Text_Data!A:A,0)))</t>
  </si>
  <si>
    <t>Q30</t>
  </si>
  <si>
    <t>Search the word "Sales" in Department</t>
  </si>
  <si>
    <t>SEARCH</t>
  </si>
  <si>
    <t>'=IFERROR(SEARCH("Sales",INDEX(Employee_Text_Data!K:K,MATCH(E35,Employee_Text_Data!A:A,0))),"Not Found")</t>
  </si>
  <si>
    <t>Q31</t>
  </si>
  <si>
    <t>Check whether Address contains "Sector"</t>
  </si>
  <si>
    <t>SEARCH+ISNUMBER</t>
  </si>
  <si>
    <t>'=IF(ISNUMBER(SEARCH("Sector",INDEX(Employee_Text_Data!G:G,MATCH(E36,Employee_Text_Data!A:A,0)))),"Yes","No")</t>
  </si>
  <si>
    <t>Q32</t>
  </si>
  <si>
    <t>Find the position of the first space in Employee Name</t>
  </si>
  <si>
    <t>'=FIND(" ",INDEX(Employee_Text_Data!B:B,MATCH(E37,Employee_Text_Data!A:A,0)))</t>
  </si>
  <si>
    <t>Q33</t>
  </si>
  <si>
    <t>Find the position of India in Address (if present)</t>
  </si>
  <si>
    <t>SEARCH+IFERROR</t>
  </si>
  <si>
    <t>'=IFERROR(SEARCH("India",INDEX(Employee_Text_Data!G:G,MATCH(E38,Employee_Text_Data!A:A,0))),"Not Found")</t>
  </si>
  <si>
    <t>Q34</t>
  </si>
  <si>
    <t>Compare FIND and SEARCH using mixed-case text (FIND is case-sensitive, SEARCH is not)</t>
  </si>
  <si>
    <t>FIND vs SEARCH</t>
  </si>
  <si>
    <t>'=IFERROR(FIND("JAIN",INDEX(Employee_Text_Data!B:B,MATCH(E39,Employee_Text_Data!A:A,0))),"FIND: not found (case-sensitive)")&amp;"  |  SEARCH: "&amp;SEARCH("JAIN",INDEX(Employee_Text_Data!B:B,MATCH(E39,Employee_Text_Data!A:A,0)))</t>
  </si>
  <si>
    <t>PART 5 - SUBSTITUTE &amp; REPLACE</t>
  </si>
  <si>
    <t>Q35</t>
  </si>
  <si>
    <t>Replace India with Bharat in Country</t>
  </si>
  <si>
    <t>SUBSTITUTE</t>
  </si>
  <si>
    <t>'=SUBSTITUTE(INDEX(Employee_Text_Data!J:J,MATCH(E41,Employee_Text_Data!A:A,0)),"India","Bharat")</t>
  </si>
  <si>
    <t>Q36</t>
  </si>
  <si>
    <t>Replace Hub with Office in Branch</t>
  </si>
  <si>
    <t>'=SUBSTITUTE(INDEX(Employee_Text_Data!M:M,MATCH(E42,Employee_Text_Data!A:A,0)),"Hub","Office")</t>
  </si>
  <si>
    <t>Q37</t>
  </si>
  <si>
    <t>Replace Electronics with Electronic Items in Category</t>
  </si>
  <si>
    <t>'=SUBSTITUTE(INDEX(Employee_Text_Data!P:P,MATCH(E43,Employee_Text_Data!A:A,0)),"Electronics","Electronic Items")</t>
  </si>
  <si>
    <t>Q38</t>
  </si>
  <si>
    <t>Replace the first 3 characters of Employee ID with STAFF</t>
  </si>
  <si>
    <t>REPLACE</t>
  </si>
  <si>
    <t>'=REPLACE(E44,1,3,"STAFF")</t>
  </si>
  <si>
    <t>Q39</t>
  </si>
  <si>
    <t>Replace the last 4 digits of Phone Number with XXXX</t>
  </si>
  <si>
    <t>'=REPLACE(INDEX(Employee_Text_Data!F:F,MATCH(E45,Employee_Text_Data!A:A,0)),LEN(INDEX(Employee_Text_Data!F:F,MATCH(E45,Employee_Text_Data!A:A,0)))-3,4,"XXXX")</t>
  </si>
  <si>
    <t>Q40</t>
  </si>
  <si>
    <t>Replace Pending with Completed in Remarks</t>
  </si>
  <si>
    <t>'=SUBSTITUTE(INDEX(Employee_Text_Data!T:T,MATCH(E46,Employee_Text_Data!A:A,0)),"Pending","Completed")</t>
  </si>
  <si>
    <t>Q41</t>
  </si>
  <si>
    <t>Replace all spaces in Employee Name with _  (e.g. Rahul_Sharma)</t>
  </si>
  <si>
    <t>SUBSTITUTE+TRIM</t>
  </si>
  <si>
    <t>'=SUBSTITUTE(TRIM(INDEX(Employee_Text_Data!B:B,MATCH(E47,Employee_Text_Data!A:A,0)))," ","_")</t>
  </si>
  <si>
    <t>Q42</t>
  </si>
  <si>
    <t>Replace commas in Address with |</t>
  </si>
  <si>
    <t>'=SUBSTITUTE(INDEX(Employee_Text_Data!G:G,MATCH(E48,Employee_Text_Data!A:A,0)),",","|")</t>
  </si>
  <si>
    <t>PART 6 - UPPER, LOWER, PROPER, EXACT, TEXT &amp; VALUE</t>
  </si>
  <si>
    <t>Q43</t>
  </si>
  <si>
    <t>Convert Employee Name to UPPERCASE</t>
  </si>
  <si>
    <t>UPPER</t>
  </si>
  <si>
    <t>'=UPPER(INDEX(Employee_Text_Data!B:B,MATCH(E50,Employee_Text_Data!A:A,0)))</t>
  </si>
  <si>
    <t>Q44</t>
  </si>
  <si>
    <t>Convert Email to lowercase</t>
  </si>
  <si>
    <t>LOWER</t>
  </si>
  <si>
    <t>'=LOWER(INDEX(Employee_Text_Data!E:E,MATCH(E51,Employee_Text_Data!A:A,0)))</t>
  </si>
  <si>
    <t>Q45</t>
  </si>
  <si>
    <t>Convert Customer Name into Proper Case</t>
  </si>
  <si>
    <t>PROPER</t>
  </si>
  <si>
    <t>'=PROPER(INDEX(Employee_Text_Data!N:N,MATCH(E52,Employee_Text_Data!A:A,0)))</t>
  </si>
  <si>
    <t>Q46</t>
  </si>
  <si>
    <t>Check whether Employee Name and Customer Name are exactly the same</t>
  </si>
  <si>
    <t>EXACT</t>
  </si>
  <si>
    <t>'=IF(EXACT(INDEX(Employee_Text_Data!B:B,MATCH(E53,Employee_Text_Data!A:A,0)),INDEX(Employee_Text_Data!N:N,MATCH(E53,Employee_Text_Data!A:A,0))),"Same","Different")</t>
  </si>
  <si>
    <t>Q47</t>
  </si>
  <si>
    <t>Format Phone Number as text (10-digit, zero-padded)</t>
  </si>
  <si>
    <t>TEXT+VALUE</t>
  </si>
  <si>
    <t>'=TEXT(VALUE(INDEX(Employee_Text_Data!F:F,MATCH(E54,Employee_Text_Data!A:A,0))),"0000000000")</t>
  </si>
  <si>
    <t>Q48</t>
  </si>
  <si>
    <t>Convert Aadhaar Number (stored as text) into a numeric value</t>
  </si>
  <si>
    <t>VALUE</t>
  </si>
  <si>
    <t>'=VALUE(INDEX(Employee_Text_Data!R:R,MATCH(E55,Employee_Text_Data!A:A,0)))</t>
  </si>
  <si>
    <t>Q49</t>
  </si>
  <si>
    <t>Display today's date in the format 05-Jul-2026 using the TEXT function</t>
  </si>
  <si>
    <t>TEXT</t>
  </si>
  <si>
    <t>'=TEXT(TODAY(),"dd-mmm-yyyy")</t>
  </si>
  <si>
    <t>Q50</t>
  </si>
  <si>
    <t>Create a professional Employee Card (multi-line) using TEXTJOIN</t>
  </si>
  <si>
    <t>'=TEXTJOIN(CHAR(10),TRUE,"Employee : "&amp;INDEX(Employee_Text_Data!B:B,MATCH(E57,Employee_Text_Data!A:A,0)),"Department : "&amp;INDEX(Employee_Text_Data!K:K,MATCH(E57,Employee_Text_Data!A:A,0)),"Branch : "&amp;INDEX(Employee_Text_Data!M:M,MATCH(E57,Employee_Text_Data!A:A,0)),"Status : "&amp;INDEX(Employee_Text_Data!S:S,MATCH(E57,Employee_Text_Data!A:A,0)))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</si>
</sst>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sz val="10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34343"/>
        <bgColor rgb="FF333300"/>
      </patternFill>
    </fill>
    <fill>
      <patternFill patternType="solid">
        <fgColor rgb="FFD9EAD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CFE2F3"/>
        <bgColor rgb="FFD9EAD3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EAD1D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D1DC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zoomScaleNormal="100" workbookViewId="0">
      <pane ySplit="1" topLeftCell="A227" activePane="bottomLeft" state="frozen"/>
      <selection pane="bottomLeft" activeCell="O231" sqref="O231"/>
    </sheetView>
  </sheetViews>
  <sheetFormatPr defaultColWidth="8.6640625" defaultRowHeight="14.4" x14ac:dyDescent="0.3"/>
  <cols>
    <col min="1" max="1" width="14.109375" bestFit="1" customWidth="1"/>
    <col min="2" max="2" width="14.88671875" bestFit="1" customWidth="1"/>
    <col min="3" max="3" width="12.109375" bestFit="1" customWidth="1"/>
    <col min="4" max="4" width="11.88671875" bestFit="1" customWidth="1"/>
    <col min="5" max="5" width="30.44140625" bestFit="1" customWidth="1"/>
    <col min="6" max="6" width="11" bestFit="1" customWidth="1"/>
    <col min="7" max="7" width="32.6640625" bestFit="1" customWidth="1"/>
    <col min="8" max="8" width="9.88671875" bestFit="1" customWidth="1"/>
    <col min="9" max="9" width="11.109375" bestFit="1" customWidth="1"/>
    <col min="10" max="10" width="8.77734375" bestFit="1" customWidth="1"/>
    <col min="11" max="11" width="12.44140625" bestFit="1" customWidth="1"/>
    <col min="12" max="12" width="12.77734375" bestFit="1" customWidth="1"/>
    <col min="13" max="13" width="9.44140625" bestFit="1" customWidth="1"/>
    <col min="14" max="14" width="14.88671875" bestFit="1" customWidth="1"/>
    <col min="15" max="15" width="15.44140625" bestFit="1" customWidth="1"/>
    <col min="16" max="16" width="11" bestFit="1" customWidth="1"/>
    <col min="17" max="17" width="14.21875" bestFit="1" customWidth="1"/>
    <col min="18" max="18" width="16" customWidth="1"/>
    <col min="19" max="19" width="7.21875" bestFit="1" customWidth="1"/>
    <col min="20" max="20" width="18.21875" bestFit="1" customWidth="1"/>
  </cols>
  <sheetData>
    <row r="1" spans="1:20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</row>
    <row r="3" spans="1:20" x14ac:dyDescent="0.3">
      <c r="A3" s="3" t="s">
        <v>40</v>
      </c>
      <c r="B3" s="3" t="s">
        <v>41</v>
      </c>
      <c r="C3" s="3" t="s">
        <v>42</v>
      </c>
      <c r="D3" s="3" t="s">
        <v>23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29</v>
      </c>
      <c r="K3" s="3" t="s">
        <v>30</v>
      </c>
      <c r="L3" s="3" t="s">
        <v>48</v>
      </c>
      <c r="M3" s="3" t="s">
        <v>32</v>
      </c>
      <c r="N3" s="3" t="s">
        <v>49</v>
      </c>
      <c r="O3" s="3" t="s">
        <v>50</v>
      </c>
      <c r="P3" s="3" t="s">
        <v>35</v>
      </c>
      <c r="Q3" s="3" t="s">
        <v>51</v>
      </c>
      <c r="R3" s="3" t="s">
        <v>52</v>
      </c>
      <c r="S3" s="3" t="s">
        <v>53</v>
      </c>
      <c r="T3" s="3" t="s">
        <v>39</v>
      </c>
    </row>
    <row r="4" spans="1:20" x14ac:dyDescent="0.3">
      <c r="A4" s="3" t="s">
        <v>54</v>
      </c>
      <c r="B4" s="3" t="s">
        <v>55</v>
      </c>
      <c r="C4" s="3" t="s">
        <v>56</v>
      </c>
      <c r="D4" s="3" t="s">
        <v>23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47</v>
      </c>
      <c r="J4" s="3" t="s">
        <v>29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3" t="s">
        <v>35</v>
      </c>
      <c r="Q4" s="3" t="s">
        <v>66</v>
      </c>
      <c r="R4" s="3" t="s">
        <v>67</v>
      </c>
      <c r="S4" s="3" t="s">
        <v>38</v>
      </c>
      <c r="T4" s="3" t="s">
        <v>68</v>
      </c>
    </row>
    <row r="5" spans="1:20" x14ac:dyDescent="0.3">
      <c r="A5" s="3" t="s">
        <v>69</v>
      </c>
      <c r="B5" s="3" t="s">
        <v>70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75</v>
      </c>
      <c r="H5" s="3" t="s">
        <v>76</v>
      </c>
      <c r="I5" s="3" t="s">
        <v>47</v>
      </c>
      <c r="J5" s="3" t="s">
        <v>29</v>
      </c>
      <c r="K5" s="3" t="s">
        <v>61</v>
      </c>
      <c r="L5" s="3" t="s">
        <v>62</v>
      </c>
      <c r="M5" s="3" t="s">
        <v>32</v>
      </c>
      <c r="N5" s="3" t="s">
        <v>77</v>
      </c>
      <c r="O5" s="3" t="s">
        <v>50</v>
      </c>
      <c r="P5" s="3" t="s">
        <v>35</v>
      </c>
      <c r="Q5" s="3" t="s">
        <v>78</v>
      </c>
      <c r="R5" s="3" t="s">
        <v>79</v>
      </c>
      <c r="S5" s="3" t="s">
        <v>53</v>
      </c>
      <c r="T5" s="3" t="s">
        <v>80</v>
      </c>
    </row>
    <row r="6" spans="1:20" x14ac:dyDescent="0.3">
      <c r="A6" s="3" t="s">
        <v>81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87</v>
      </c>
      <c r="H6" s="3" t="s">
        <v>27</v>
      </c>
      <c r="I6" s="3" t="s">
        <v>88</v>
      </c>
      <c r="J6" s="3" t="s">
        <v>29</v>
      </c>
      <c r="K6" s="3" t="s">
        <v>89</v>
      </c>
      <c r="L6" s="3" t="s">
        <v>31</v>
      </c>
      <c r="M6" s="3" t="s">
        <v>90</v>
      </c>
      <c r="N6" s="3" t="s">
        <v>91</v>
      </c>
      <c r="O6" s="3" t="s">
        <v>92</v>
      </c>
      <c r="P6" s="3" t="s">
        <v>35</v>
      </c>
      <c r="Q6" s="3" t="s">
        <v>93</v>
      </c>
      <c r="R6" s="3" t="s">
        <v>94</v>
      </c>
      <c r="S6" s="3" t="s">
        <v>38</v>
      </c>
      <c r="T6" s="3" t="s">
        <v>68</v>
      </c>
    </row>
    <row r="7" spans="1:20" x14ac:dyDescent="0.3">
      <c r="A7" s="3" t="s">
        <v>95</v>
      </c>
      <c r="B7" s="3" t="s">
        <v>96</v>
      </c>
      <c r="C7" s="3" t="s">
        <v>97</v>
      </c>
      <c r="D7" s="3" t="s">
        <v>98</v>
      </c>
      <c r="E7" s="3" t="s">
        <v>99</v>
      </c>
      <c r="F7" s="3" t="s">
        <v>100</v>
      </c>
      <c r="G7" s="3" t="s">
        <v>101</v>
      </c>
      <c r="H7" s="3" t="s">
        <v>60</v>
      </c>
      <c r="I7" s="3" t="s">
        <v>102</v>
      </c>
      <c r="J7" s="3" t="s">
        <v>29</v>
      </c>
      <c r="K7" s="3" t="s">
        <v>103</v>
      </c>
      <c r="L7" s="3" t="s">
        <v>104</v>
      </c>
      <c r="M7" s="3" t="s">
        <v>32</v>
      </c>
      <c r="N7" s="3" t="s">
        <v>105</v>
      </c>
      <c r="O7" s="3" t="s">
        <v>106</v>
      </c>
      <c r="P7" s="3" t="s">
        <v>107</v>
      </c>
      <c r="Q7" s="3" t="s">
        <v>108</v>
      </c>
      <c r="R7" s="3" t="s">
        <v>109</v>
      </c>
      <c r="S7" s="3" t="s">
        <v>38</v>
      </c>
      <c r="T7" s="3" t="s">
        <v>80</v>
      </c>
    </row>
    <row r="8" spans="1:20" x14ac:dyDescent="0.3">
      <c r="A8" s="3" t="s">
        <v>110</v>
      </c>
      <c r="B8" s="3" t="s">
        <v>77</v>
      </c>
      <c r="C8" s="3" t="s">
        <v>83</v>
      </c>
      <c r="D8" s="3" t="s">
        <v>72</v>
      </c>
      <c r="E8" s="3" t="s">
        <v>111</v>
      </c>
      <c r="F8" s="3" t="s">
        <v>112</v>
      </c>
      <c r="G8" s="3" t="s">
        <v>113</v>
      </c>
      <c r="H8" s="3" t="s">
        <v>46</v>
      </c>
      <c r="I8" s="3" t="s">
        <v>114</v>
      </c>
      <c r="J8" s="3" t="s">
        <v>29</v>
      </c>
      <c r="K8" s="3" t="s">
        <v>89</v>
      </c>
      <c r="L8" s="3" t="s">
        <v>115</v>
      </c>
      <c r="M8" s="3" t="s">
        <v>116</v>
      </c>
      <c r="N8" s="3" t="s">
        <v>117</v>
      </c>
      <c r="O8" s="3" t="s">
        <v>118</v>
      </c>
      <c r="P8" s="3" t="s">
        <v>119</v>
      </c>
      <c r="Q8" s="3" t="s">
        <v>120</v>
      </c>
      <c r="R8" s="3" t="s">
        <v>121</v>
      </c>
      <c r="S8" s="3" t="s">
        <v>38</v>
      </c>
      <c r="T8" s="3" t="s">
        <v>39</v>
      </c>
    </row>
    <row r="9" spans="1:20" x14ac:dyDescent="0.3">
      <c r="A9" s="3" t="s">
        <v>122</v>
      </c>
      <c r="B9" s="3" t="s">
        <v>123</v>
      </c>
      <c r="C9" s="3" t="s">
        <v>71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60</v>
      </c>
      <c r="I9" s="3" t="s">
        <v>128</v>
      </c>
      <c r="J9" s="3" t="s">
        <v>29</v>
      </c>
      <c r="K9" s="3" t="s">
        <v>89</v>
      </c>
      <c r="L9" s="3" t="s">
        <v>48</v>
      </c>
      <c r="M9" s="3" t="s">
        <v>32</v>
      </c>
      <c r="N9" s="3" t="s">
        <v>129</v>
      </c>
      <c r="O9" s="3" t="s">
        <v>106</v>
      </c>
      <c r="P9" s="3" t="s">
        <v>107</v>
      </c>
      <c r="Q9" s="3" t="s">
        <v>130</v>
      </c>
      <c r="R9" s="3" t="s">
        <v>131</v>
      </c>
      <c r="S9" s="3" t="s">
        <v>38</v>
      </c>
      <c r="T9" s="3" t="s">
        <v>39</v>
      </c>
    </row>
    <row r="10" spans="1:20" x14ac:dyDescent="0.3">
      <c r="A10" s="3" t="s">
        <v>132</v>
      </c>
      <c r="B10" s="3" t="s">
        <v>133</v>
      </c>
      <c r="C10" s="3" t="s">
        <v>134</v>
      </c>
      <c r="D10" s="3" t="s">
        <v>135</v>
      </c>
      <c r="E10" s="3" t="s">
        <v>136</v>
      </c>
      <c r="F10" s="3" t="s">
        <v>137</v>
      </c>
      <c r="G10" s="3" t="s">
        <v>138</v>
      </c>
      <c r="H10" s="3" t="s">
        <v>27</v>
      </c>
      <c r="I10" s="3" t="s">
        <v>102</v>
      </c>
      <c r="J10" s="3" t="s">
        <v>29</v>
      </c>
      <c r="K10" s="3" t="s">
        <v>103</v>
      </c>
      <c r="L10" s="3" t="s">
        <v>48</v>
      </c>
      <c r="M10" s="3" t="s">
        <v>90</v>
      </c>
      <c r="N10" s="3" t="s">
        <v>139</v>
      </c>
      <c r="O10" s="3" t="s">
        <v>118</v>
      </c>
      <c r="P10" s="3" t="s">
        <v>119</v>
      </c>
      <c r="Q10" s="3" t="s">
        <v>140</v>
      </c>
      <c r="R10" s="3" t="s">
        <v>141</v>
      </c>
      <c r="S10" s="3" t="s">
        <v>38</v>
      </c>
      <c r="T10" s="3" t="s">
        <v>80</v>
      </c>
    </row>
    <row r="11" spans="1:20" x14ac:dyDescent="0.3">
      <c r="A11" s="3" t="s">
        <v>142</v>
      </c>
      <c r="B11" s="3" t="s">
        <v>55</v>
      </c>
      <c r="C11" s="3" t="s">
        <v>56</v>
      </c>
      <c r="D11" s="3" t="s">
        <v>23</v>
      </c>
      <c r="E11" s="3" t="s">
        <v>143</v>
      </c>
      <c r="F11" s="3" t="s">
        <v>144</v>
      </c>
      <c r="G11" s="3" t="s">
        <v>145</v>
      </c>
      <c r="H11" s="3" t="s">
        <v>76</v>
      </c>
      <c r="I11" s="3" t="s">
        <v>88</v>
      </c>
      <c r="J11" s="3" t="s">
        <v>29</v>
      </c>
      <c r="K11" s="3" t="s">
        <v>146</v>
      </c>
      <c r="L11" s="3" t="s">
        <v>48</v>
      </c>
      <c r="M11" s="3" t="s">
        <v>90</v>
      </c>
      <c r="N11" s="3" t="s">
        <v>147</v>
      </c>
      <c r="O11" s="3" t="s">
        <v>148</v>
      </c>
      <c r="P11" s="3" t="s">
        <v>35</v>
      </c>
      <c r="Q11" s="3" t="s">
        <v>149</v>
      </c>
      <c r="R11" s="3" t="s">
        <v>150</v>
      </c>
      <c r="S11" s="3" t="s">
        <v>53</v>
      </c>
      <c r="T11" s="3" t="s">
        <v>151</v>
      </c>
    </row>
    <row r="12" spans="1:20" x14ac:dyDescent="0.3">
      <c r="A12" s="3" t="s">
        <v>152</v>
      </c>
      <c r="B12" s="3" t="s">
        <v>153</v>
      </c>
      <c r="C12" s="3" t="s">
        <v>83</v>
      </c>
      <c r="D12" s="3" t="s">
        <v>154</v>
      </c>
      <c r="E12" s="3" t="s">
        <v>155</v>
      </c>
      <c r="F12" s="3" t="s">
        <v>156</v>
      </c>
      <c r="G12" s="3" t="s">
        <v>157</v>
      </c>
      <c r="H12" s="3" t="s">
        <v>158</v>
      </c>
      <c r="I12" s="3" t="s">
        <v>88</v>
      </c>
      <c r="J12" s="3" t="s">
        <v>29</v>
      </c>
      <c r="K12" s="3" t="s">
        <v>146</v>
      </c>
      <c r="L12" s="3" t="s">
        <v>48</v>
      </c>
      <c r="M12" s="3" t="s">
        <v>116</v>
      </c>
      <c r="N12" s="3" t="s">
        <v>159</v>
      </c>
      <c r="O12" s="3" t="s">
        <v>50</v>
      </c>
      <c r="P12" s="3" t="s">
        <v>35</v>
      </c>
      <c r="Q12" s="3" t="s">
        <v>160</v>
      </c>
      <c r="R12" s="3" t="s">
        <v>161</v>
      </c>
      <c r="S12" s="3" t="s">
        <v>38</v>
      </c>
      <c r="T12" s="3" t="s">
        <v>68</v>
      </c>
    </row>
    <row r="13" spans="1:20" x14ac:dyDescent="0.3">
      <c r="A13" s="3" t="s">
        <v>162</v>
      </c>
      <c r="B13" s="3" t="s">
        <v>163</v>
      </c>
      <c r="C13" s="3" t="s">
        <v>71</v>
      </c>
      <c r="D13" s="3" t="s">
        <v>164</v>
      </c>
      <c r="E13" s="3" t="s">
        <v>165</v>
      </c>
      <c r="F13" s="3" t="s">
        <v>166</v>
      </c>
      <c r="G13" s="3" t="s">
        <v>167</v>
      </c>
      <c r="H13" s="3" t="s">
        <v>76</v>
      </c>
      <c r="I13" s="3" t="s">
        <v>88</v>
      </c>
      <c r="J13" s="3" t="s">
        <v>29</v>
      </c>
      <c r="K13" s="3" t="s">
        <v>61</v>
      </c>
      <c r="L13" s="3" t="s">
        <v>115</v>
      </c>
      <c r="M13" s="3" t="s">
        <v>32</v>
      </c>
      <c r="N13" s="3" t="s">
        <v>168</v>
      </c>
      <c r="O13" s="3" t="s">
        <v>34</v>
      </c>
      <c r="P13" s="3" t="s">
        <v>35</v>
      </c>
      <c r="Q13" s="3" t="s">
        <v>169</v>
      </c>
      <c r="R13" s="3" t="s">
        <v>170</v>
      </c>
      <c r="S13" s="3" t="s">
        <v>53</v>
      </c>
      <c r="T13" s="3" t="s">
        <v>80</v>
      </c>
    </row>
    <row r="14" spans="1:20" x14ac:dyDescent="0.3">
      <c r="A14" s="3" t="s">
        <v>171</v>
      </c>
      <c r="B14" s="3" t="s">
        <v>77</v>
      </c>
      <c r="C14" s="3" t="s">
        <v>83</v>
      </c>
      <c r="D14" s="3" t="s">
        <v>72</v>
      </c>
      <c r="E14" s="3" t="s">
        <v>172</v>
      </c>
      <c r="F14" s="3" t="s">
        <v>173</v>
      </c>
      <c r="G14" s="3" t="s">
        <v>174</v>
      </c>
      <c r="H14" s="3" t="s">
        <v>46</v>
      </c>
      <c r="I14" s="3" t="s">
        <v>114</v>
      </c>
      <c r="J14" s="3" t="s">
        <v>29</v>
      </c>
      <c r="K14" s="3" t="s">
        <v>30</v>
      </c>
      <c r="L14" s="3" t="s">
        <v>48</v>
      </c>
      <c r="M14" s="3" t="s">
        <v>63</v>
      </c>
      <c r="N14" s="3" t="s">
        <v>175</v>
      </c>
      <c r="O14" s="3" t="s">
        <v>118</v>
      </c>
      <c r="P14" s="3" t="s">
        <v>119</v>
      </c>
      <c r="Q14" s="3" t="s">
        <v>176</v>
      </c>
      <c r="R14" s="3" t="s">
        <v>177</v>
      </c>
      <c r="S14" s="3" t="s">
        <v>53</v>
      </c>
      <c r="T14" s="3" t="s">
        <v>39</v>
      </c>
    </row>
    <row r="15" spans="1:20" x14ac:dyDescent="0.3">
      <c r="A15" s="3" t="s">
        <v>178</v>
      </c>
      <c r="B15" s="3" t="s">
        <v>179</v>
      </c>
      <c r="C15" s="3" t="s">
        <v>180</v>
      </c>
      <c r="D15" s="3" t="s">
        <v>124</v>
      </c>
      <c r="E15" s="3" t="s">
        <v>181</v>
      </c>
      <c r="F15" s="3" t="s">
        <v>182</v>
      </c>
      <c r="G15" s="3" t="s">
        <v>183</v>
      </c>
      <c r="H15" s="3" t="s">
        <v>60</v>
      </c>
      <c r="I15" s="3" t="s">
        <v>102</v>
      </c>
      <c r="J15" s="3" t="s">
        <v>29</v>
      </c>
      <c r="K15" s="3" t="s">
        <v>30</v>
      </c>
      <c r="L15" s="3" t="s">
        <v>48</v>
      </c>
      <c r="M15" s="3" t="s">
        <v>32</v>
      </c>
      <c r="N15" s="3" t="s">
        <v>123</v>
      </c>
      <c r="O15" s="3" t="s">
        <v>148</v>
      </c>
      <c r="P15" s="3" t="s">
        <v>35</v>
      </c>
      <c r="Q15" s="3" t="s">
        <v>184</v>
      </c>
      <c r="R15" s="3" t="s">
        <v>185</v>
      </c>
      <c r="S15" s="3" t="s">
        <v>53</v>
      </c>
      <c r="T15" s="3" t="s">
        <v>186</v>
      </c>
    </row>
    <row r="16" spans="1:20" x14ac:dyDescent="0.3">
      <c r="A16" s="3" t="s">
        <v>187</v>
      </c>
      <c r="B16" s="3" t="s">
        <v>188</v>
      </c>
      <c r="C16" s="3" t="s">
        <v>22</v>
      </c>
      <c r="D16" s="3" t="s">
        <v>189</v>
      </c>
      <c r="E16" s="3" t="s">
        <v>190</v>
      </c>
      <c r="F16" s="3" t="s">
        <v>191</v>
      </c>
      <c r="G16" s="3" t="s">
        <v>192</v>
      </c>
      <c r="H16" s="3" t="s">
        <v>193</v>
      </c>
      <c r="I16" s="3" t="s">
        <v>114</v>
      </c>
      <c r="J16" s="3" t="s">
        <v>29</v>
      </c>
      <c r="K16" s="3" t="s">
        <v>61</v>
      </c>
      <c r="L16" s="3" t="s">
        <v>48</v>
      </c>
      <c r="M16" s="3" t="s">
        <v>32</v>
      </c>
      <c r="N16" s="3" t="s">
        <v>194</v>
      </c>
      <c r="O16" s="3" t="s">
        <v>65</v>
      </c>
      <c r="P16" s="3" t="s">
        <v>35</v>
      </c>
      <c r="Q16" s="3" t="s">
        <v>195</v>
      </c>
      <c r="R16" s="3" t="s">
        <v>196</v>
      </c>
      <c r="S16" s="3" t="s">
        <v>53</v>
      </c>
      <c r="T16" s="3" t="s">
        <v>151</v>
      </c>
    </row>
    <row r="17" spans="1:20" x14ac:dyDescent="0.3">
      <c r="A17" s="3" t="s">
        <v>197</v>
      </c>
      <c r="B17" s="3" t="s">
        <v>198</v>
      </c>
      <c r="C17" s="3" t="s">
        <v>199</v>
      </c>
      <c r="D17" s="3" t="s">
        <v>84</v>
      </c>
      <c r="E17" s="3" t="s">
        <v>200</v>
      </c>
      <c r="F17" s="3" t="s">
        <v>201</v>
      </c>
      <c r="G17" s="3" t="s">
        <v>202</v>
      </c>
      <c r="H17" s="3" t="s">
        <v>193</v>
      </c>
      <c r="I17" s="3" t="s">
        <v>102</v>
      </c>
      <c r="J17" s="3" t="s">
        <v>29</v>
      </c>
      <c r="K17" s="3" t="s">
        <v>146</v>
      </c>
      <c r="L17" s="3" t="s">
        <v>48</v>
      </c>
      <c r="M17" s="3" t="s">
        <v>90</v>
      </c>
      <c r="N17" s="3" t="s">
        <v>203</v>
      </c>
      <c r="O17" s="3" t="s">
        <v>34</v>
      </c>
      <c r="P17" s="3" t="s">
        <v>35</v>
      </c>
      <c r="Q17" s="3" t="s">
        <v>204</v>
      </c>
      <c r="R17" s="3" t="s">
        <v>205</v>
      </c>
      <c r="S17" s="3" t="s">
        <v>38</v>
      </c>
      <c r="T17" s="3" t="s">
        <v>68</v>
      </c>
    </row>
    <row r="18" spans="1:20" x14ac:dyDescent="0.3">
      <c r="A18" s="3" t="s">
        <v>206</v>
      </c>
      <c r="B18" s="3" t="s">
        <v>207</v>
      </c>
      <c r="C18" s="3" t="s">
        <v>180</v>
      </c>
      <c r="D18" s="3" t="s">
        <v>84</v>
      </c>
      <c r="E18" s="3" t="s">
        <v>208</v>
      </c>
      <c r="F18" s="3" t="s">
        <v>209</v>
      </c>
      <c r="G18" s="3" t="s">
        <v>210</v>
      </c>
      <c r="H18" s="3" t="s">
        <v>76</v>
      </c>
      <c r="I18" s="3" t="s">
        <v>88</v>
      </c>
      <c r="J18" s="3" t="s">
        <v>29</v>
      </c>
      <c r="K18" s="3" t="s">
        <v>146</v>
      </c>
      <c r="L18" s="3" t="s">
        <v>115</v>
      </c>
      <c r="M18" s="3" t="s">
        <v>32</v>
      </c>
      <c r="N18" s="3" t="s">
        <v>211</v>
      </c>
      <c r="O18" s="3" t="s">
        <v>92</v>
      </c>
      <c r="P18" s="3" t="s">
        <v>35</v>
      </c>
      <c r="Q18" s="3" t="s">
        <v>212</v>
      </c>
      <c r="R18" s="3" t="s">
        <v>213</v>
      </c>
      <c r="S18" s="3" t="s">
        <v>38</v>
      </c>
      <c r="T18" s="3" t="s">
        <v>151</v>
      </c>
    </row>
    <row r="19" spans="1:20" x14ac:dyDescent="0.3">
      <c r="A19" s="3" t="s">
        <v>214</v>
      </c>
      <c r="B19" s="3" t="s">
        <v>215</v>
      </c>
      <c r="C19" s="3" t="s">
        <v>216</v>
      </c>
      <c r="D19" s="3" t="s">
        <v>189</v>
      </c>
      <c r="E19" s="3" t="s">
        <v>217</v>
      </c>
      <c r="F19" s="3" t="s">
        <v>218</v>
      </c>
      <c r="G19" s="3" t="s">
        <v>219</v>
      </c>
      <c r="H19" s="3" t="s">
        <v>46</v>
      </c>
      <c r="I19" s="3" t="s">
        <v>128</v>
      </c>
      <c r="J19" s="3" t="s">
        <v>29</v>
      </c>
      <c r="K19" s="3" t="s">
        <v>220</v>
      </c>
      <c r="L19" s="3" t="s">
        <v>104</v>
      </c>
      <c r="M19" s="3" t="s">
        <v>32</v>
      </c>
      <c r="N19" s="3" t="s">
        <v>221</v>
      </c>
      <c r="O19" s="3" t="s">
        <v>34</v>
      </c>
      <c r="P19" s="3" t="s">
        <v>35</v>
      </c>
      <c r="Q19" s="3" t="s">
        <v>222</v>
      </c>
      <c r="R19" s="3" t="s">
        <v>223</v>
      </c>
      <c r="S19" s="3" t="s">
        <v>53</v>
      </c>
      <c r="T19" s="3" t="s">
        <v>68</v>
      </c>
    </row>
    <row r="20" spans="1:20" x14ac:dyDescent="0.3">
      <c r="A20" s="3" t="s">
        <v>224</v>
      </c>
      <c r="B20" s="3" t="s">
        <v>198</v>
      </c>
      <c r="C20" s="3" t="s">
        <v>199</v>
      </c>
      <c r="D20" s="3" t="s">
        <v>84</v>
      </c>
      <c r="E20" s="3" t="s">
        <v>225</v>
      </c>
      <c r="F20" s="3" t="s">
        <v>226</v>
      </c>
      <c r="G20" s="3" t="s">
        <v>227</v>
      </c>
      <c r="H20" s="3" t="s">
        <v>27</v>
      </c>
      <c r="I20" s="3" t="s">
        <v>88</v>
      </c>
      <c r="J20" s="3" t="s">
        <v>29</v>
      </c>
      <c r="K20" s="3" t="s">
        <v>220</v>
      </c>
      <c r="L20" s="3" t="s">
        <v>31</v>
      </c>
      <c r="M20" s="3" t="s">
        <v>63</v>
      </c>
      <c r="N20" s="3" t="s">
        <v>228</v>
      </c>
      <c r="O20" s="3" t="s">
        <v>34</v>
      </c>
      <c r="P20" s="3" t="s">
        <v>35</v>
      </c>
      <c r="Q20" s="3" t="s">
        <v>229</v>
      </c>
      <c r="R20" s="3" t="s">
        <v>230</v>
      </c>
      <c r="S20" s="3" t="s">
        <v>53</v>
      </c>
      <c r="T20" s="3" t="s">
        <v>80</v>
      </c>
    </row>
    <row r="21" spans="1:20" x14ac:dyDescent="0.3">
      <c r="A21" s="3" t="s">
        <v>231</v>
      </c>
      <c r="B21" s="3" t="s">
        <v>232</v>
      </c>
      <c r="C21" s="3" t="s">
        <v>199</v>
      </c>
      <c r="D21" s="3" t="s">
        <v>98</v>
      </c>
      <c r="E21" s="3" t="s">
        <v>233</v>
      </c>
      <c r="F21" s="3" t="s">
        <v>234</v>
      </c>
      <c r="G21" s="3" t="s">
        <v>235</v>
      </c>
      <c r="H21" s="3" t="s">
        <v>46</v>
      </c>
      <c r="I21" s="3" t="s">
        <v>88</v>
      </c>
      <c r="J21" s="3" t="s">
        <v>29</v>
      </c>
      <c r="K21" s="3" t="s">
        <v>146</v>
      </c>
      <c r="L21" s="3" t="s">
        <v>31</v>
      </c>
      <c r="M21" s="3" t="s">
        <v>116</v>
      </c>
      <c r="N21" s="3" t="s">
        <v>236</v>
      </c>
      <c r="O21" s="3" t="s">
        <v>50</v>
      </c>
      <c r="P21" s="3" t="s">
        <v>35</v>
      </c>
      <c r="Q21" s="3" t="s">
        <v>237</v>
      </c>
      <c r="R21" s="3" t="s">
        <v>238</v>
      </c>
      <c r="S21" s="3" t="s">
        <v>53</v>
      </c>
      <c r="T21" s="3" t="s">
        <v>151</v>
      </c>
    </row>
    <row r="22" spans="1:20" x14ac:dyDescent="0.3">
      <c r="A22" s="3" t="s">
        <v>239</v>
      </c>
      <c r="B22" s="3" t="s">
        <v>240</v>
      </c>
      <c r="C22" s="3" t="s">
        <v>97</v>
      </c>
      <c r="D22" s="3" t="s">
        <v>241</v>
      </c>
      <c r="E22" s="3" t="s">
        <v>242</v>
      </c>
      <c r="F22" s="3" t="s">
        <v>243</v>
      </c>
      <c r="G22" s="3" t="s">
        <v>244</v>
      </c>
      <c r="H22" s="3" t="s">
        <v>27</v>
      </c>
      <c r="I22" s="3" t="s">
        <v>245</v>
      </c>
      <c r="J22" s="3" t="s">
        <v>29</v>
      </c>
      <c r="K22" s="3" t="s">
        <v>103</v>
      </c>
      <c r="L22" s="3" t="s">
        <v>31</v>
      </c>
      <c r="M22" s="3" t="s">
        <v>63</v>
      </c>
      <c r="N22" s="3" t="s">
        <v>188</v>
      </c>
      <c r="O22" s="3" t="s">
        <v>34</v>
      </c>
      <c r="P22" s="3" t="s">
        <v>35</v>
      </c>
      <c r="Q22" s="3" t="s">
        <v>246</v>
      </c>
      <c r="R22" s="3" t="s">
        <v>247</v>
      </c>
      <c r="S22" s="3" t="s">
        <v>53</v>
      </c>
      <c r="T22" s="3" t="s">
        <v>248</v>
      </c>
    </row>
    <row r="23" spans="1:20" x14ac:dyDescent="0.3">
      <c r="A23" s="3" t="s">
        <v>249</v>
      </c>
      <c r="B23" s="3" t="s">
        <v>250</v>
      </c>
      <c r="C23" s="3" t="s">
        <v>216</v>
      </c>
      <c r="D23" s="3" t="s">
        <v>23</v>
      </c>
      <c r="E23" s="3" t="s">
        <v>251</v>
      </c>
      <c r="F23" s="3" t="s">
        <v>252</v>
      </c>
      <c r="G23" s="3" t="s">
        <v>253</v>
      </c>
      <c r="H23" s="3" t="s">
        <v>76</v>
      </c>
      <c r="I23" s="3" t="s">
        <v>245</v>
      </c>
      <c r="J23" s="3" t="s">
        <v>29</v>
      </c>
      <c r="K23" s="3" t="s">
        <v>146</v>
      </c>
      <c r="L23" s="3" t="s">
        <v>31</v>
      </c>
      <c r="M23" s="3" t="s">
        <v>116</v>
      </c>
      <c r="N23" s="3" t="s">
        <v>215</v>
      </c>
      <c r="O23" s="3" t="s">
        <v>92</v>
      </c>
      <c r="P23" s="3" t="s">
        <v>35</v>
      </c>
      <c r="Q23" s="3" t="s">
        <v>254</v>
      </c>
      <c r="R23" s="3" t="s">
        <v>255</v>
      </c>
      <c r="S23" s="3" t="s">
        <v>53</v>
      </c>
      <c r="T23" s="3" t="s">
        <v>80</v>
      </c>
    </row>
    <row r="24" spans="1:20" x14ac:dyDescent="0.3">
      <c r="A24" s="3" t="s">
        <v>256</v>
      </c>
      <c r="B24" s="3" t="s">
        <v>257</v>
      </c>
      <c r="C24" s="3" t="s">
        <v>258</v>
      </c>
      <c r="D24" s="3" t="s">
        <v>23</v>
      </c>
      <c r="E24" s="3" t="s">
        <v>259</v>
      </c>
      <c r="F24" s="3" t="s">
        <v>260</v>
      </c>
      <c r="G24" s="3" t="s">
        <v>261</v>
      </c>
      <c r="H24" s="3" t="s">
        <v>88</v>
      </c>
      <c r="I24" s="3" t="s">
        <v>28</v>
      </c>
      <c r="J24" s="3" t="s">
        <v>29</v>
      </c>
      <c r="K24" s="3" t="s">
        <v>220</v>
      </c>
      <c r="L24" s="3" t="s">
        <v>48</v>
      </c>
      <c r="M24" s="3" t="s">
        <v>116</v>
      </c>
      <c r="N24" s="3" t="s">
        <v>262</v>
      </c>
      <c r="O24" s="3" t="s">
        <v>106</v>
      </c>
      <c r="P24" s="3" t="s">
        <v>107</v>
      </c>
      <c r="Q24" s="3" t="s">
        <v>263</v>
      </c>
      <c r="R24" s="3" t="s">
        <v>264</v>
      </c>
      <c r="S24" s="3" t="s">
        <v>53</v>
      </c>
      <c r="T24" s="3" t="s">
        <v>151</v>
      </c>
    </row>
    <row r="25" spans="1:20" x14ac:dyDescent="0.3">
      <c r="A25" s="3" t="s">
        <v>265</v>
      </c>
      <c r="B25" s="3" t="s">
        <v>70</v>
      </c>
      <c r="C25" s="3" t="s">
        <v>71</v>
      </c>
      <c r="D25" s="3" t="s">
        <v>72</v>
      </c>
      <c r="E25" s="3" t="s">
        <v>266</v>
      </c>
      <c r="F25" s="3" t="s">
        <v>267</v>
      </c>
      <c r="G25" s="3" t="s">
        <v>268</v>
      </c>
      <c r="H25" s="3" t="s">
        <v>88</v>
      </c>
      <c r="I25" s="3" t="s">
        <v>102</v>
      </c>
      <c r="J25" s="3" t="s">
        <v>29</v>
      </c>
      <c r="K25" s="3" t="s">
        <v>30</v>
      </c>
      <c r="L25" s="3" t="s">
        <v>62</v>
      </c>
      <c r="M25" s="3" t="s">
        <v>63</v>
      </c>
      <c r="N25" s="3" t="s">
        <v>269</v>
      </c>
      <c r="O25" s="3" t="s">
        <v>50</v>
      </c>
      <c r="P25" s="3" t="s">
        <v>35</v>
      </c>
      <c r="Q25" s="3" t="s">
        <v>270</v>
      </c>
      <c r="R25" s="3" t="s">
        <v>271</v>
      </c>
      <c r="S25" s="3" t="s">
        <v>38</v>
      </c>
      <c r="T25" s="3" t="s">
        <v>186</v>
      </c>
    </row>
    <row r="26" spans="1:20" x14ac:dyDescent="0.3">
      <c r="A26" s="3" t="s">
        <v>272</v>
      </c>
      <c r="B26" s="3" t="s">
        <v>273</v>
      </c>
      <c r="C26" s="3" t="s">
        <v>56</v>
      </c>
      <c r="D26" s="3" t="s">
        <v>189</v>
      </c>
      <c r="E26" s="3" t="s">
        <v>274</v>
      </c>
      <c r="F26" s="3" t="s">
        <v>275</v>
      </c>
      <c r="G26" s="3" t="s">
        <v>276</v>
      </c>
      <c r="H26" s="3" t="s">
        <v>158</v>
      </c>
      <c r="I26" s="3" t="s">
        <v>245</v>
      </c>
      <c r="J26" s="3" t="s">
        <v>29</v>
      </c>
      <c r="K26" s="3" t="s">
        <v>30</v>
      </c>
      <c r="L26" s="3" t="s">
        <v>62</v>
      </c>
      <c r="M26" s="3" t="s">
        <v>116</v>
      </c>
      <c r="N26" s="3" t="s">
        <v>277</v>
      </c>
      <c r="O26" s="3" t="s">
        <v>278</v>
      </c>
      <c r="P26" s="3" t="s">
        <v>119</v>
      </c>
      <c r="Q26" s="3" t="s">
        <v>279</v>
      </c>
      <c r="R26" s="3" t="s">
        <v>280</v>
      </c>
      <c r="S26" s="3" t="s">
        <v>53</v>
      </c>
      <c r="T26" s="3" t="s">
        <v>80</v>
      </c>
    </row>
    <row r="27" spans="1:20" x14ac:dyDescent="0.3">
      <c r="A27" s="3" t="s">
        <v>281</v>
      </c>
      <c r="B27" s="3" t="s">
        <v>282</v>
      </c>
      <c r="C27" s="3" t="s">
        <v>283</v>
      </c>
      <c r="D27" s="3" t="s">
        <v>164</v>
      </c>
      <c r="E27" s="3" t="s">
        <v>284</v>
      </c>
      <c r="F27" s="3" t="s">
        <v>285</v>
      </c>
      <c r="G27" s="3" t="s">
        <v>286</v>
      </c>
      <c r="H27" s="3" t="s">
        <v>76</v>
      </c>
      <c r="I27" s="3" t="s">
        <v>114</v>
      </c>
      <c r="J27" s="3" t="s">
        <v>29</v>
      </c>
      <c r="K27" s="3" t="s">
        <v>146</v>
      </c>
      <c r="L27" s="3" t="s">
        <v>48</v>
      </c>
      <c r="M27" s="3" t="s">
        <v>63</v>
      </c>
      <c r="N27" s="3" t="s">
        <v>287</v>
      </c>
      <c r="O27" s="3" t="s">
        <v>34</v>
      </c>
      <c r="P27" s="3" t="s">
        <v>35</v>
      </c>
      <c r="Q27" s="3" t="s">
        <v>288</v>
      </c>
      <c r="R27" s="3" t="s">
        <v>289</v>
      </c>
      <c r="S27" s="3" t="s">
        <v>38</v>
      </c>
      <c r="T27" s="3" t="s">
        <v>39</v>
      </c>
    </row>
    <row r="28" spans="1:20" x14ac:dyDescent="0.3">
      <c r="A28" s="3" t="s">
        <v>290</v>
      </c>
      <c r="B28" s="3" t="s">
        <v>291</v>
      </c>
      <c r="C28" s="3" t="s">
        <v>283</v>
      </c>
      <c r="D28" s="3" t="s">
        <v>135</v>
      </c>
      <c r="E28" s="3" t="s">
        <v>292</v>
      </c>
      <c r="F28" s="3" t="s">
        <v>293</v>
      </c>
      <c r="G28" s="3" t="s">
        <v>294</v>
      </c>
      <c r="H28" s="3" t="s">
        <v>27</v>
      </c>
      <c r="I28" s="3" t="s">
        <v>102</v>
      </c>
      <c r="J28" s="3" t="s">
        <v>29</v>
      </c>
      <c r="K28" s="3" t="s">
        <v>89</v>
      </c>
      <c r="L28" s="3" t="s">
        <v>62</v>
      </c>
      <c r="M28" s="3" t="s">
        <v>90</v>
      </c>
      <c r="N28" s="3" t="s">
        <v>295</v>
      </c>
      <c r="O28" s="3" t="s">
        <v>278</v>
      </c>
      <c r="P28" s="3" t="s">
        <v>119</v>
      </c>
      <c r="Q28" s="3" t="s">
        <v>296</v>
      </c>
      <c r="R28" s="3" t="s">
        <v>297</v>
      </c>
      <c r="S28" s="3" t="s">
        <v>53</v>
      </c>
      <c r="T28" s="3" t="s">
        <v>68</v>
      </c>
    </row>
    <row r="29" spans="1:20" x14ac:dyDescent="0.3">
      <c r="A29" s="3" t="s">
        <v>298</v>
      </c>
      <c r="B29" s="3" t="s">
        <v>299</v>
      </c>
      <c r="C29" s="3" t="s">
        <v>199</v>
      </c>
      <c r="D29" s="3" t="s">
        <v>241</v>
      </c>
      <c r="E29" s="3" t="s">
        <v>300</v>
      </c>
      <c r="F29" s="3" t="s">
        <v>301</v>
      </c>
      <c r="G29" s="3" t="s">
        <v>302</v>
      </c>
      <c r="H29" s="3" t="s">
        <v>46</v>
      </c>
      <c r="I29" s="3" t="s">
        <v>245</v>
      </c>
      <c r="J29" s="3" t="s">
        <v>29</v>
      </c>
      <c r="K29" s="3" t="s">
        <v>89</v>
      </c>
      <c r="L29" s="3" t="s">
        <v>62</v>
      </c>
      <c r="M29" s="3" t="s">
        <v>32</v>
      </c>
      <c r="N29" s="3" t="s">
        <v>303</v>
      </c>
      <c r="O29" s="3" t="s">
        <v>106</v>
      </c>
      <c r="P29" s="3" t="s">
        <v>107</v>
      </c>
      <c r="Q29" s="3" t="s">
        <v>304</v>
      </c>
      <c r="R29" s="3" t="s">
        <v>305</v>
      </c>
      <c r="S29" s="3" t="s">
        <v>38</v>
      </c>
      <c r="T29" s="3" t="s">
        <v>39</v>
      </c>
    </row>
    <row r="30" spans="1:20" x14ac:dyDescent="0.3">
      <c r="A30" s="3" t="s">
        <v>306</v>
      </c>
      <c r="B30" s="3" t="s">
        <v>307</v>
      </c>
      <c r="C30" s="3" t="s">
        <v>97</v>
      </c>
      <c r="D30" s="3" t="s">
        <v>23</v>
      </c>
      <c r="E30" s="3" t="s">
        <v>308</v>
      </c>
      <c r="F30" s="3" t="s">
        <v>309</v>
      </c>
      <c r="G30" s="3" t="s">
        <v>310</v>
      </c>
      <c r="H30" s="3" t="s">
        <v>311</v>
      </c>
      <c r="I30" s="3" t="s">
        <v>47</v>
      </c>
      <c r="J30" s="3" t="s">
        <v>29</v>
      </c>
      <c r="K30" s="3" t="s">
        <v>146</v>
      </c>
      <c r="L30" s="3" t="s">
        <v>104</v>
      </c>
      <c r="M30" s="3" t="s">
        <v>90</v>
      </c>
      <c r="N30" s="3" t="s">
        <v>312</v>
      </c>
      <c r="O30" s="3" t="s">
        <v>34</v>
      </c>
      <c r="P30" s="3" t="s">
        <v>35</v>
      </c>
      <c r="Q30" s="3" t="s">
        <v>313</v>
      </c>
      <c r="R30" s="3" t="s">
        <v>314</v>
      </c>
      <c r="S30" s="3" t="s">
        <v>53</v>
      </c>
      <c r="T30" s="3" t="s">
        <v>248</v>
      </c>
    </row>
    <row r="31" spans="1:20" x14ac:dyDescent="0.3">
      <c r="A31" s="3" t="s">
        <v>315</v>
      </c>
      <c r="B31" s="3" t="s">
        <v>316</v>
      </c>
      <c r="C31" s="3" t="s">
        <v>83</v>
      </c>
      <c r="D31" s="3" t="s">
        <v>241</v>
      </c>
      <c r="E31" s="3" t="s">
        <v>317</v>
      </c>
      <c r="F31" s="3" t="s">
        <v>318</v>
      </c>
      <c r="G31" s="3" t="s">
        <v>319</v>
      </c>
      <c r="H31" s="3" t="s">
        <v>46</v>
      </c>
      <c r="I31" s="3" t="s">
        <v>245</v>
      </c>
      <c r="J31" s="3" t="s">
        <v>29</v>
      </c>
      <c r="K31" s="3" t="s">
        <v>146</v>
      </c>
      <c r="L31" s="3" t="s">
        <v>62</v>
      </c>
      <c r="M31" s="3" t="s">
        <v>90</v>
      </c>
      <c r="N31" s="3" t="s">
        <v>320</v>
      </c>
      <c r="O31" s="3" t="s">
        <v>50</v>
      </c>
      <c r="P31" s="3" t="s">
        <v>35</v>
      </c>
      <c r="Q31" s="3" t="s">
        <v>321</v>
      </c>
      <c r="R31" s="3" t="s">
        <v>322</v>
      </c>
      <c r="S31" s="3" t="s">
        <v>38</v>
      </c>
      <c r="T31" s="3" t="s">
        <v>80</v>
      </c>
    </row>
    <row r="32" spans="1:20" x14ac:dyDescent="0.3">
      <c r="A32" s="3" t="s">
        <v>323</v>
      </c>
      <c r="B32" s="3" t="s">
        <v>324</v>
      </c>
      <c r="C32" s="3" t="s">
        <v>325</v>
      </c>
      <c r="D32" s="3" t="s">
        <v>84</v>
      </c>
      <c r="E32" s="3" t="s">
        <v>326</v>
      </c>
      <c r="F32" s="3" t="s">
        <v>327</v>
      </c>
      <c r="G32" s="3" t="s">
        <v>328</v>
      </c>
      <c r="H32" s="3" t="s">
        <v>311</v>
      </c>
      <c r="I32" s="3" t="s">
        <v>128</v>
      </c>
      <c r="J32" s="3" t="s">
        <v>29</v>
      </c>
      <c r="K32" s="3" t="s">
        <v>30</v>
      </c>
      <c r="L32" s="3" t="s">
        <v>48</v>
      </c>
      <c r="M32" s="3" t="s">
        <v>116</v>
      </c>
      <c r="N32" s="3" t="s">
        <v>329</v>
      </c>
      <c r="O32" s="3" t="s">
        <v>92</v>
      </c>
      <c r="P32" s="3" t="s">
        <v>35</v>
      </c>
      <c r="Q32" s="3" t="s">
        <v>330</v>
      </c>
      <c r="R32" s="3" t="s">
        <v>331</v>
      </c>
      <c r="S32" s="3" t="s">
        <v>53</v>
      </c>
      <c r="T32" s="3" t="s">
        <v>39</v>
      </c>
    </row>
    <row r="33" spans="1:20" x14ac:dyDescent="0.3">
      <c r="A33" s="3" t="s">
        <v>332</v>
      </c>
      <c r="B33" s="3" t="s">
        <v>333</v>
      </c>
      <c r="C33" s="3" t="s">
        <v>71</v>
      </c>
      <c r="D33" s="3" t="s">
        <v>23</v>
      </c>
      <c r="E33" s="3" t="s">
        <v>334</v>
      </c>
      <c r="F33" s="3" t="s">
        <v>335</v>
      </c>
      <c r="G33" s="3" t="s">
        <v>336</v>
      </c>
      <c r="H33" s="3" t="s">
        <v>193</v>
      </c>
      <c r="I33" s="3" t="s">
        <v>102</v>
      </c>
      <c r="J33" s="3" t="s">
        <v>29</v>
      </c>
      <c r="K33" s="3" t="s">
        <v>146</v>
      </c>
      <c r="L33" s="3" t="s">
        <v>48</v>
      </c>
      <c r="M33" s="3" t="s">
        <v>90</v>
      </c>
      <c r="N33" s="3" t="s">
        <v>49</v>
      </c>
      <c r="O33" s="3" t="s">
        <v>106</v>
      </c>
      <c r="P33" s="3" t="s">
        <v>107</v>
      </c>
      <c r="Q33" s="3" t="s">
        <v>337</v>
      </c>
      <c r="R33" s="3" t="s">
        <v>338</v>
      </c>
      <c r="S33" s="3" t="s">
        <v>53</v>
      </c>
      <c r="T33" s="3" t="s">
        <v>248</v>
      </c>
    </row>
    <row r="34" spans="1:20" x14ac:dyDescent="0.3">
      <c r="A34" s="3" t="s">
        <v>339</v>
      </c>
      <c r="B34" s="3" t="s">
        <v>340</v>
      </c>
      <c r="C34" s="3" t="s">
        <v>341</v>
      </c>
      <c r="D34" s="3" t="s">
        <v>135</v>
      </c>
      <c r="E34" s="3" t="s">
        <v>342</v>
      </c>
      <c r="F34" s="3" t="s">
        <v>343</v>
      </c>
      <c r="G34" s="3" t="s">
        <v>344</v>
      </c>
      <c r="H34" s="3" t="s">
        <v>76</v>
      </c>
      <c r="I34" s="3" t="s">
        <v>47</v>
      </c>
      <c r="J34" s="3" t="s">
        <v>29</v>
      </c>
      <c r="K34" s="3" t="s">
        <v>146</v>
      </c>
      <c r="L34" s="3" t="s">
        <v>104</v>
      </c>
      <c r="M34" s="3" t="s">
        <v>63</v>
      </c>
      <c r="N34" s="3" t="s">
        <v>345</v>
      </c>
      <c r="O34" s="3" t="s">
        <v>148</v>
      </c>
      <c r="P34" s="3" t="s">
        <v>35</v>
      </c>
      <c r="Q34" s="3" t="s">
        <v>346</v>
      </c>
      <c r="R34" s="3" t="s">
        <v>347</v>
      </c>
      <c r="S34" s="3" t="s">
        <v>53</v>
      </c>
      <c r="T34" s="3" t="s">
        <v>68</v>
      </c>
    </row>
    <row r="35" spans="1:20" x14ac:dyDescent="0.3">
      <c r="A35" s="3" t="s">
        <v>348</v>
      </c>
      <c r="B35" s="3" t="s">
        <v>349</v>
      </c>
      <c r="C35" s="3" t="s">
        <v>350</v>
      </c>
      <c r="D35" s="3" t="s">
        <v>98</v>
      </c>
      <c r="E35" s="3" t="s">
        <v>351</v>
      </c>
      <c r="F35" s="3" t="s">
        <v>352</v>
      </c>
      <c r="G35" s="3" t="s">
        <v>353</v>
      </c>
      <c r="H35" s="3" t="s">
        <v>76</v>
      </c>
      <c r="I35" s="3" t="s">
        <v>114</v>
      </c>
      <c r="J35" s="3" t="s">
        <v>29</v>
      </c>
      <c r="K35" s="3" t="s">
        <v>103</v>
      </c>
      <c r="L35" s="3" t="s">
        <v>104</v>
      </c>
      <c r="M35" s="3" t="s">
        <v>63</v>
      </c>
      <c r="N35" s="3" t="s">
        <v>307</v>
      </c>
      <c r="O35" s="3" t="s">
        <v>34</v>
      </c>
      <c r="P35" s="3" t="s">
        <v>35</v>
      </c>
      <c r="Q35" s="3" t="s">
        <v>354</v>
      </c>
      <c r="R35" s="3" t="s">
        <v>355</v>
      </c>
      <c r="S35" s="3" t="s">
        <v>38</v>
      </c>
      <c r="T35" s="3" t="s">
        <v>248</v>
      </c>
    </row>
    <row r="36" spans="1:20" x14ac:dyDescent="0.3">
      <c r="A36" s="3" t="s">
        <v>356</v>
      </c>
      <c r="B36" s="3" t="s">
        <v>207</v>
      </c>
      <c r="C36" s="3" t="s">
        <v>180</v>
      </c>
      <c r="D36" s="3" t="s">
        <v>84</v>
      </c>
      <c r="E36" s="3" t="s">
        <v>357</v>
      </c>
      <c r="F36" s="3" t="s">
        <v>358</v>
      </c>
      <c r="G36" s="3" t="s">
        <v>359</v>
      </c>
      <c r="H36" s="3" t="s">
        <v>158</v>
      </c>
      <c r="I36" s="3" t="s">
        <v>28</v>
      </c>
      <c r="J36" s="3" t="s">
        <v>29</v>
      </c>
      <c r="K36" s="3" t="s">
        <v>146</v>
      </c>
      <c r="L36" s="3" t="s">
        <v>31</v>
      </c>
      <c r="M36" s="3" t="s">
        <v>90</v>
      </c>
      <c r="N36" s="3" t="s">
        <v>360</v>
      </c>
      <c r="O36" s="3" t="s">
        <v>118</v>
      </c>
      <c r="P36" s="3" t="s">
        <v>119</v>
      </c>
      <c r="Q36" s="3" t="s">
        <v>361</v>
      </c>
      <c r="R36" s="3" t="s">
        <v>362</v>
      </c>
      <c r="S36" s="3" t="s">
        <v>38</v>
      </c>
      <c r="T36" s="3" t="s">
        <v>248</v>
      </c>
    </row>
    <row r="37" spans="1:20" x14ac:dyDescent="0.3">
      <c r="A37" s="3" t="s">
        <v>363</v>
      </c>
      <c r="B37" s="3" t="s">
        <v>364</v>
      </c>
      <c r="C37" s="3" t="s">
        <v>42</v>
      </c>
      <c r="D37" s="3" t="s">
        <v>241</v>
      </c>
      <c r="E37" s="3" t="s">
        <v>365</v>
      </c>
      <c r="F37" s="3" t="s">
        <v>366</v>
      </c>
      <c r="G37" s="3" t="s">
        <v>367</v>
      </c>
      <c r="H37" s="3" t="s">
        <v>193</v>
      </c>
      <c r="I37" s="3" t="s">
        <v>102</v>
      </c>
      <c r="J37" s="3" t="s">
        <v>29</v>
      </c>
      <c r="K37" s="3" t="s">
        <v>89</v>
      </c>
      <c r="L37" s="3" t="s">
        <v>31</v>
      </c>
      <c r="M37" s="3" t="s">
        <v>116</v>
      </c>
      <c r="N37" s="3" t="s">
        <v>368</v>
      </c>
      <c r="O37" s="3" t="s">
        <v>50</v>
      </c>
      <c r="P37" s="3" t="s">
        <v>35</v>
      </c>
      <c r="Q37" s="3" t="s">
        <v>369</v>
      </c>
      <c r="R37" s="3" t="s">
        <v>370</v>
      </c>
      <c r="S37" s="3" t="s">
        <v>38</v>
      </c>
      <c r="T37" s="3" t="s">
        <v>68</v>
      </c>
    </row>
    <row r="38" spans="1:20" x14ac:dyDescent="0.3">
      <c r="A38" s="3" t="s">
        <v>371</v>
      </c>
      <c r="B38" s="3" t="s">
        <v>364</v>
      </c>
      <c r="C38" s="3" t="s">
        <v>42</v>
      </c>
      <c r="D38" s="3" t="s">
        <v>241</v>
      </c>
      <c r="E38" s="3" t="s">
        <v>372</v>
      </c>
      <c r="F38" s="3" t="s">
        <v>373</v>
      </c>
      <c r="G38" s="3" t="s">
        <v>374</v>
      </c>
      <c r="H38" s="3" t="s">
        <v>27</v>
      </c>
      <c r="I38" s="3" t="s">
        <v>128</v>
      </c>
      <c r="J38" s="3" t="s">
        <v>29</v>
      </c>
      <c r="K38" s="3" t="s">
        <v>89</v>
      </c>
      <c r="L38" s="3" t="s">
        <v>115</v>
      </c>
      <c r="M38" s="3" t="s">
        <v>63</v>
      </c>
      <c r="N38" s="3" t="s">
        <v>375</v>
      </c>
      <c r="O38" s="3" t="s">
        <v>92</v>
      </c>
      <c r="P38" s="3" t="s">
        <v>35</v>
      </c>
      <c r="Q38" s="3" t="s">
        <v>376</v>
      </c>
      <c r="R38" s="3" t="s">
        <v>377</v>
      </c>
      <c r="S38" s="3" t="s">
        <v>38</v>
      </c>
      <c r="T38" s="3" t="s">
        <v>80</v>
      </c>
    </row>
    <row r="39" spans="1:20" x14ac:dyDescent="0.3">
      <c r="A39" s="3" t="s">
        <v>378</v>
      </c>
      <c r="B39" s="3" t="s">
        <v>307</v>
      </c>
      <c r="C39" s="3" t="s">
        <v>97</v>
      </c>
      <c r="D39" s="3" t="s">
        <v>23</v>
      </c>
      <c r="E39" s="3" t="s">
        <v>379</v>
      </c>
      <c r="F39" s="3" t="s">
        <v>380</v>
      </c>
      <c r="G39" s="3" t="s">
        <v>381</v>
      </c>
      <c r="H39" s="3" t="s">
        <v>88</v>
      </c>
      <c r="I39" s="3" t="s">
        <v>114</v>
      </c>
      <c r="J39" s="3" t="s">
        <v>29</v>
      </c>
      <c r="K39" s="3" t="s">
        <v>103</v>
      </c>
      <c r="L39" s="3" t="s">
        <v>62</v>
      </c>
      <c r="M39" s="3" t="s">
        <v>32</v>
      </c>
      <c r="N39" s="3" t="s">
        <v>382</v>
      </c>
      <c r="O39" s="3" t="s">
        <v>92</v>
      </c>
      <c r="P39" s="3" t="s">
        <v>35</v>
      </c>
      <c r="Q39" s="3" t="s">
        <v>383</v>
      </c>
      <c r="R39" s="3" t="s">
        <v>384</v>
      </c>
      <c r="S39" s="3" t="s">
        <v>53</v>
      </c>
      <c r="T39" s="3" t="s">
        <v>151</v>
      </c>
    </row>
    <row r="40" spans="1:20" x14ac:dyDescent="0.3">
      <c r="A40" s="3" t="s">
        <v>385</v>
      </c>
      <c r="B40" s="3" t="s">
        <v>386</v>
      </c>
      <c r="C40" s="3" t="s">
        <v>180</v>
      </c>
      <c r="D40" s="3" t="s">
        <v>241</v>
      </c>
      <c r="E40" s="3" t="s">
        <v>387</v>
      </c>
      <c r="F40" s="3" t="s">
        <v>388</v>
      </c>
      <c r="G40" s="3" t="s">
        <v>389</v>
      </c>
      <c r="H40" s="3" t="s">
        <v>311</v>
      </c>
      <c r="I40" s="3" t="s">
        <v>245</v>
      </c>
      <c r="J40" s="3" t="s">
        <v>29</v>
      </c>
      <c r="K40" s="3" t="s">
        <v>89</v>
      </c>
      <c r="L40" s="3" t="s">
        <v>104</v>
      </c>
      <c r="M40" s="3" t="s">
        <v>32</v>
      </c>
      <c r="N40" s="3" t="s">
        <v>159</v>
      </c>
      <c r="O40" s="3" t="s">
        <v>106</v>
      </c>
      <c r="P40" s="3" t="s">
        <v>107</v>
      </c>
      <c r="Q40" s="3" t="s">
        <v>390</v>
      </c>
      <c r="R40" s="3" t="s">
        <v>391</v>
      </c>
      <c r="S40" s="3" t="s">
        <v>53</v>
      </c>
      <c r="T40" s="3" t="s">
        <v>80</v>
      </c>
    </row>
    <row r="41" spans="1:20" x14ac:dyDescent="0.3">
      <c r="A41" s="3" t="s">
        <v>392</v>
      </c>
      <c r="B41" s="3" t="s">
        <v>211</v>
      </c>
      <c r="C41" s="3" t="s">
        <v>42</v>
      </c>
      <c r="D41" s="3" t="s">
        <v>154</v>
      </c>
      <c r="E41" s="3" t="s">
        <v>393</v>
      </c>
      <c r="F41" s="3" t="s">
        <v>394</v>
      </c>
      <c r="G41" s="3" t="s">
        <v>395</v>
      </c>
      <c r="H41" s="3" t="s">
        <v>88</v>
      </c>
      <c r="I41" s="3" t="s">
        <v>47</v>
      </c>
      <c r="J41" s="3" t="s">
        <v>29</v>
      </c>
      <c r="K41" s="3" t="s">
        <v>30</v>
      </c>
      <c r="L41" s="3" t="s">
        <v>48</v>
      </c>
      <c r="M41" s="3" t="s">
        <v>32</v>
      </c>
      <c r="N41" s="3" t="s">
        <v>396</v>
      </c>
      <c r="O41" s="3" t="s">
        <v>148</v>
      </c>
      <c r="P41" s="3" t="s">
        <v>35</v>
      </c>
      <c r="Q41" s="3" t="s">
        <v>397</v>
      </c>
      <c r="R41" s="3" t="s">
        <v>398</v>
      </c>
      <c r="S41" s="3" t="s">
        <v>53</v>
      </c>
      <c r="T41" s="3" t="s">
        <v>39</v>
      </c>
    </row>
    <row r="42" spans="1:20" x14ac:dyDescent="0.3">
      <c r="A42" s="3" t="s">
        <v>399</v>
      </c>
      <c r="B42" s="3" t="s">
        <v>207</v>
      </c>
      <c r="C42" s="3" t="s">
        <v>180</v>
      </c>
      <c r="D42" s="3" t="s">
        <v>84</v>
      </c>
      <c r="E42" s="3" t="s">
        <v>400</v>
      </c>
      <c r="F42" s="3" t="s">
        <v>401</v>
      </c>
      <c r="G42" s="3" t="s">
        <v>402</v>
      </c>
      <c r="H42" s="3" t="s">
        <v>158</v>
      </c>
      <c r="I42" s="3" t="s">
        <v>28</v>
      </c>
      <c r="J42" s="3" t="s">
        <v>29</v>
      </c>
      <c r="K42" s="3" t="s">
        <v>30</v>
      </c>
      <c r="L42" s="3" t="s">
        <v>31</v>
      </c>
      <c r="M42" s="3" t="s">
        <v>32</v>
      </c>
      <c r="N42" s="3" t="s">
        <v>403</v>
      </c>
      <c r="O42" s="3" t="s">
        <v>92</v>
      </c>
      <c r="P42" s="3" t="s">
        <v>35</v>
      </c>
      <c r="Q42" s="3" t="s">
        <v>404</v>
      </c>
      <c r="R42" s="3" t="s">
        <v>405</v>
      </c>
      <c r="S42" s="3" t="s">
        <v>53</v>
      </c>
      <c r="T42" s="3" t="s">
        <v>39</v>
      </c>
    </row>
    <row r="43" spans="1:20" x14ac:dyDescent="0.3">
      <c r="A43" s="3" t="s">
        <v>406</v>
      </c>
      <c r="B43" s="3" t="s">
        <v>407</v>
      </c>
      <c r="C43" s="3" t="s">
        <v>22</v>
      </c>
      <c r="D43" s="3" t="s">
        <v>164</v>
      </c>
      <c r="E43" s="3" t="s">
        <v>408</v>
      </c>
      <c r="F43" s="3" t="s">
        <v>409</v>
      </c>
      <c r="G43" s="3" t="s">
        <v>410</v>
      </c>
      <c r="H43" s="3" t="s">
        <v>158</v>
      </c>
      <c r="I43" s="3" t="s">
        <v>47</v>
      </c>
      <c r="J43" s="3" t="s">
        <v>29</v>
      </c>
      <c r="K43" s="3" t="s">
        <v>61</v>
      </c>
      <c r="L43" s="3" t="s">
        <v>104</v>
      </c>
      <c r="M43" s="3" t="s">
        <v>116</v>
      </c>
      <c r="N43" s="3" t="s">
        <v>411</v>
      </c>
      <c r="O43" s="3" t="s">
        <v>92</v>
      </c>
      <c r="P43" s="3" t="s">
        <v>35</v>
      </c>
      <c r="Q43" s="3" t="s">
        <v>412</v>
      </c>
      <c r="R43" s="3" t="s">
        <v>413</v>
      </c>
      <c r="S43" s="3" t="s">
        <v>53</v>
      </c>
      <c r="T43" s="3" t="s">
        <v>80</v>
      </c>
    </row>
    <row r="44" spans="1:20" x14ac:dyDescent="0.3">
      <c r="A44" s="3" t="s">
        <v>414</v>
      </c>
      <c r="B44" s="3" t="s">
        <v>329</v>
      </c>
      <c r="C44" s="3" t="s">
        <v>350</v>
      </c>
      <c r="D44" s="3" t="s">
        <v>72</v>
      </c>
      <c r="E44" s="3" t="s">
        <v>415</v>
      </c>
      <c r="F44" s="3" t="s">
        <v>416</v>
      </c>
      <c r="G44" s="3" t="s">
        <v>417</v>
      </c>
      <c r="H44" s="3" t="s">
        <v>60</v>
      </c>
      <c r="I44" s="3" t="s">
        <v>245</v>
      </c>
      <c r="J44" s="3" t="s">
        <v>29</v>
      </c>
      <c r="K44" s="3" t="s">
        <v>61</v>
      </c>
      <c r="L44" s="3" t="s">
        <v>48</v>
      </c>
      <c r="M44" s="3" t="s">
        <v>32</v>
      </c>
      <c r="N44" s="3" t="s">
        <v>411</v>
      </c>
      <c r="O44" s="3" t="s">
        <v>34</v>
      </c>
      <c r="P44" s="3" t="s">
        <v>35</v>
      </c>
      <c r="Q44" s="3" t="s">
        <v>418</v>
      </c>
      <c r="R44" s="3" t="s">
        <v>419</v>
      </c>
      <c r="S44" s="3" t="s">
        <v>38</v>
      </c>
      <c r="T44" s="3" t="s">
        <v>39</v>
      </c>
    </row>
    <row r="45" spans="1:20" x14ac:dyDescent="0.3">
      <c r="A45" s="3" t="s">
        <v>420</v>
      </c>
      <c r="B45" s="3" t="s">
        <v>96</v>
      </c>
      <c r="C45" s="3" t="s">
        <v>97</v>
      </c>
      <c r="D45" s="3" t="s">
        <v>98</v>
      </c>
      <c r="E45" s="3" t="s">
        <v>421</v>
      </c>
      <c r="F45" s="3" t="s">
        <v>422</v>
      </c>
      <c r="G45" s="3" t="s">
        <v>423</v>
      </c>
      <c r="H45" s="3" t="s">
        <v>158</v>
      </c>
      <c r="I45" s="3" t="s">
        <v>245</v>
      </c>
      <c r="J45" s="3" t="s">
        <v>29</v>
      </c>
      <c r="K45" s="3" t="s">
        <v>30</v>
      </c>
      <c r="L45" s="3" t="s">
        <v>104</v>
      </c>
      <c r="M45" s="3" t="s">
        <v>116</v>
      </c>
      <c r="N45" s="3" t="s">
        <v>147</v>
      </c>
      <c r="O45" s="3" t="s">
        <v>148</v>
      </c>
      <c r="P45" s="3" t="s">
        <v>35</v>
      </c>
      <c r="Q45" s="3" t="s">
        <v>424</v>
      </c>
      <c r="R45" s="3" t="s">
        <v>425</v>
      </c>
      <c r="S45" s="3" t="s">
        <v>53</v>
      </c>
      <c r="T45" s="3" t="s">
        <v>39</v>
      </c>
    </row>
    <row r="46" spans="1:20" x14ac:dyDescent="0.3">
      <c r="A46" s="3" t="s">
        <v>426</v>
      </c>
      <c r="B46" s="3" t="s">
        <v>277</v>
      </c>
      <c r="C46" s="3" t="s">
        <v>325</v>
      </c>
      <c r="D46" s="3" t="s">
        <v>135</v>
      </c>
      <c r="E46" s="3" t="s">
        <v>427</v>
      </c>
      <c r="F46" s="3" t="s">
        <v>428</v>
      </c>
      <c r="G46" s="3" t="s">
        <v>429</v>
      </c>
      <c r="H46" s="3" t="s">
        <v>193</v>
      </c>
      <c r="I46" s="3" t="s">
        <v>128</v>
      </c>
      <c r="J46" s="3" t="s">
        <v>29</v>
      </c>
      <c r="K46" s="3" t="s">
        <v>61</v>
      </c>
      <c r="L46" s="3" t="s">
        <v>104</v>
      </c>
      <c r="M46" s="3" t="s">
        <v>90</v>
      </c>
      <c r="N46" s="3" t="s">
        <v>168</v>
      </c>
      <c r="O46" s="3" t="s">
        <v>118</v>
      </c>
      <c r="P46" s="3" t="s">
        <v>119</v>
      </c>
      <c r="Q46" s="3" t="s">
        <v>430</v>
      </c>
      <c r="R46" s="3" t="s">
        <v>431</v>
      </c>
      <c r="S46" s="3" t="s">
        <v>38</v>
      </c>
      <c r="T46" s="3" t="s">
        <v>151</v>
      </c>
    </row>
    <row r="47" spans="1:20" x14ac:dyDescent="0.3">
      <c r="A47" s="3" t="s">
        <v>432</v>
      </c>
      <c r="B47" s="3" t="s">
        <v>163</v>
      </c>
      <c r="C47" s="3" t="s">
        <v>71</v>
      </c>
      <c r="D47" s="3" t="s">
        <v>164</v>
      </c>
      <c r="E47" s="3" t="s">
        <v>433</v>
      </c>
      <c r="F47" s="3" t="s">
        <v>434</v>
      </c>
      <c r="G47" s="3" t="s">
        <v>435</v>
      </c>
      <c r="H47" s="3" t="s">
        <v>158</v>
      </c>
      <c r="I47" s="3" t="s">
        <v>88</v>
      </c>
      <c r="J47" s="3" t="s">
        <v>29</v>
      </c>
      <c r="K47" s="3" t="s">
        <v>61</v>
      </c>
      <c r="L47" s="3" t="s">
        <v>48</v>
      </c>
      <c r="M47" s="3" t="s">
        <v>116</v>
      </c>
      <c r="N47" s="3" t="s">
        <v>436</v>
      </c>
      <c r="O47" s="3" t="s">
        <v>148</v>
      </c>
      <c r="P47" s="3" t="s">
        <v>35</v>
      </c>
      <c r="Q47" s="3" t="s">
        <v>437</v>
      </c>
      <c r="R47" s="3" t="s">
        <v>438</v>
      </c>
      <c r="S47" s="3" t="s">
        <v>53</v>
      </c>
      <c r="T47" s="3" t="s">
        <v>80</v>
      </c>
    </row>
    <row r="48" spans="1:20" x14ac:dyDescent="0.3">
      <c r="A48" s="3" t="s">
        <v>439</v>
      </c>
      <c r="B48" s="3" t="s">
        <v>188</v>
      </c>
      <c r="C48" s="3" t="s">
        <v>22</v>
      </c>
      <c r="D48" s="3" t="s">
        <v>189</v>
      </c>
      <c r="E48" s="3" t="s">
        <v>440</v>
      </c>
      <c r="F48" s="3" t="s">
        <v>441</v>
      </c>
      <c r="G48" s="3" t="s">
        <v>442</v>
      </c>
      <c r="H48" s="3" t="s">
        <v>60</v>
      </c>
      <c r="I48" s="3" t="s">
        <v>114</v>
      </c>
      <c r="J48" s="3" t="s">
        <v>29</v>
      </c>
      <c r="K48" s="3" t="s">
        <v>61</v>
      </c>
      <c r="L48" s="3" t="s">
        <v>62</v>
      </c>
      <c r="M48" s="3" t="s">
        <v>90</v>
      </c>
      <c r="N48" s="3" t="s">
        <v>96</v>
      </c>
      <c r="O48" s="3" t="s">
        <v>34</v>
      </c>
      <c r="P48" s="3" t="s">
        <v>35</v>
      </c>
      <c r="Q48" s="3" t="s">
        <v>443</v>
      </c>
      <c r="R48" s="3" t="s">
        <v>444</v>
      </c>
      <c r="S48" s="3" t="s">
        <v>53</v>
      </c>
      <c r="T48" s="3" t="s">
        <v>39</v>
      </c>
    </row>
    <row r="49" spans="1:20" x14ac:dyDescent="0.3">
      <c r="A49" s="3" t="s">
        <v>445</v>
      </c>
      <c r="B49" s="3" t="s">
        <v>287</v>
      </c>
      <c r="C49" s="3" t="s">
        <v>350</v>
      </c>
      <c r="D49" s="3" t="s">
        <v>23</v>
      </c>
      <c r="E49" s="3" t="s">
        <v>446</v>
      </c>
      <c r="F49" s="3" t="s">
        <v>447</v>
      </c>
      <c r="G49" s="3" t="s">
        <v>448</v>
      </c>
      <c r="H49" s="3" t="s">
        <v>311</v>
      </c>
      <c r="I49" s="3" t="s">
        <v>47</v>
      </c>
      <c r="J49" s="3" t="s">
        <v>29</v>
      </c>
      <c r="K49" s="3" t="s">
        <v>146</v>
      </c>
      <c r="L49" s="3" t="s">
        <v>104</v>
      </c>
      <c r="M49" s="3" t="s">
        <v>116</v>
      </c>
      <c r="N49" s="3" t="s">
        <v>33</v>
      </c>
      <c r="O49" s="3" t="s">
        <v>50</v>
      </c>
      <c r="P49" s="3" t="s">
        <v>35</v>
      </c>
      <c r="Q49" s="3" t="s">
        <v>449</v>
      </c>
      <c r="R49" s="3" t="s">
        <v>450</v>
      </c>
      <c r="S49" s="3" t="s">
        <v>38</v>
      </c>
      <c r="T49" s="3" t="s">
        <v>151</v>
      </c>
    </row>
    <row r="50" spans="1:20" x14ac:dyDescent="0.3">
      <c r="A50" s="3" t="s">
        <v>451</v>
      </c>
      <c r="B50" s="3" t="s">
        <v>333</v>
      </c>
      <c r="C50" s="3" t="s">
        <v>71</v>
      </c>
      <c r="D50" s="3" t="s">
        <v>23</v>
      </c>
      <c r="E50" s="3" t="s">
        <v>452</v>
      </c>
      <c r="F50" s="3" t="s">
        <v>453</v>
      </c>
      <c r="G50" s="3" t="s">
        <v>454</v>
      </c>
      <c r="H50" s="3" t="s">
        <v>88</v>
      </c>
      <c r="I50" s="3" t="s">
        <v>102</v>
      </c>
      <c r="J50" s="3" t="s">
        <v>29</v>
      </c>
      <c r="K50" s="3" t="s">
        <v>146</v>
      </c>
      <c r="L50" s="3" t="s">
        <v>115</v>
      </c>
      <c r="M50" s="3" t="s">
        <v>90</v>
      </c>
      <c r="N50" s="3" t="s">
        <v>455</v>
      </c>
      <c r="O50" s="3" t="s">
        <v>65</v>
      </c>
      <c r="P50" s="3" t="s">
        <v>35</v>
      </c>
      <c r="Q50" s="3" t="s">
        <v>456</v>
      </c>
      <c r="R50" s="3" t="s">
        <v>457</v>
      </c>
      <c r="S50" s="3" t="s">
        <v>38</v>
      </c>
      <c r="T50" s="3" t="s">
        <v>68</v>
      </c>
    </row>
    <row r="51" spans="1:20" x14ac:dyDescent="0.3">
      <c r="A51" s="3" t="s">
        <v>458</v>
      </c>
      <c r="B51" s="3" t="s">
        <v>459</v>
      </c>
      <c r="C51" s="3" t="s">
        <v>42</v>
      </c>
      <c r="D51" s="3" t="s">
        <v>164</v>
      </c>
      <c r="E51" s="3" t="s">
        <v>460</v>
      </c>
      <c r="F51" s="3" t="s">
        <v>461</v>
      </c>
      <c r="G51" s="3" t="s">
        <v>462</v>
      </c>
      <c r="H51" s="3" t="s">
        <v>60</v>
      </c>
      <c r="I51" s="3" t="s">
        <v>28</v>
      </c>
      <c r="J51" s="3" t="s">
        <v>29</v>
      </c>
      <c r="K51" s="3" t="s">
        <v>61</v>
      </c>
      <c r="L51" s="3" t="s">
        <v>31</v>
      </c>
      <c r="M51" s="3" t="s">
        <v>90</v>
      </c>
      <c r="N51" s="3" t="s">
        <v>463</v>
      </c>
      <c r="O51" s="3" t="s">
        <v>278</v>
      </c>
      <c r="P51" s="3" t="s">
        <v>119</v>
      </c>
      <c r="Q51" s="3" t="s">
        <v>464</v>
      </c>
      <c r="R51" s="3" t="s">
        <v>465</v>
      </c>
      <c r="S51" s="3" t="s">
        <v>38</v>
      </c>
      <c r="T51" s="3" t="s">
        <v>68</v>
      </c>
    </row>
    <row r="52" spans="1:20" x14ac:dyDescent="0.3">
      <c r="A52" s="3" t="s">
        <v>466</v>
      </c>
      <c r="B52" s="3" t="s">
        <v>467</v>
      </c>
      <c r="C52" s="3" t="s">
        <v>180</v>
      </c>
      <c r="D52" s="3" t="s">
        <v>23</v>
      </c>
      <c r="E52" s="3" t="s">
        <v>468</v>
      </c>
      <c r="F52" s="3" t="s">
        <v>469</v>
      </c>
      <c r="G52" s="3" t="s">
        <v>470</v>
      </c>
      <c r="H52" s="3" t="s">
        <v>193</v>
      </c>
      <c r="I52" s="3" t="s">
        <v>88</v>
      </c>
      <c r="J52" s="3" t="s">
        <v>29</v>
      </c>
      <c r="K52" s="3" t="s">
        <v>89</v>
      </c>
      <c r="L52" s="3" t="s">
        <v>115</v>
      </c>
      <c r="M52" s="3" t="s">
        <v>63</v>
      </c>
      <c r="N52" s="3" t="s">
        <v>471</v>
      </c>
      <c r="O52" s="3" t="s">
        <v>92</v>
      </c>
      <c r="P52" s="3" t="s">
        <v>35</v>
      </c>
      <c r="Q52" s="3" t="s">
        <v>472</v>
      </c>
      <c r="R52" s="3" t="s">
        <v>473</v>
      </c>
      <c r="S52" s="3" t="s">
        <v>38</v>
      </c>
      <c r="T52" s="3" t="s">
        <v>39</v>
      </c>
    </row>
    <row r="53" spans="1:20" x14ac:dyDescent="0.3">
      <c r="A53" s="3" t="s">
        <v>474</v>
      </c>
      <c r="B53" s="3" t="s">
        <v>475</v>
      </c>
      <c r="C53" s="3" t="s">
        <v>216</v>
      </c>
      <c r="D53" s="3" t="s">
        <v>98</v>
      </c>
      <c r="E53" s="3" t="s">
        <v>476</v>
      </c>
      <c r="F53" s="3" t="s">
        <v>477</v>
      </c>
      <c r="G53" s="3" t="s">
        <v>478</v>
      </c>
      <c r="H53" s="3" t="s">
        <v>311</v>
      </c>
      <c r="I53" s="3" t="s">
        <v>245</v>
      </c>
      <c r="J53" s="3" t="s">
        <v>29</v>
      </c>
      <c r="K53" s="3" t="s">
        <v>61</v>
      </c>
      <c r="L53" s="3" t="s">
        <v>48</v>
      </c>
      <c r="M53" s="3" t="s">
        <v>32</v>
      </c>
      <c r="N53" s="3" t="s">
        <v>299</v>
      </c>
      <c r="O53" s="3" t="s">
        <v>65</v>
      </c>
      <c r="P53" s="3" t="s">
        <v>35</v>
      </c>
      <c r="Q53" s="3" t="s">
        <v>479</v>
      </c>
      <c r="R53" s="3" t="s">
        <v>480</v>
      </c>
      <c r="S53" s="3" t="s">
        <v>53</v>
      </c>
      <c r="T53" s="3" t="s">
        <v>68</v>
      </c>
    </row>
    <row r="54" spans="1:20" x14ac:dyDescent="0.3">
      <c r="A54" s="3" t="s">
        <v>481</v>
      </c>
      <c r="B54" s="3" t="s">
        <v>316</v>
      </c>
      <c r="C54" s="3" t="s">
        <v>83</v>
      </c>
      <c r="D54" s="3" t="s">
        <v>241</v>
      </c>
      <c r="E54" s="3" t="s">
        <v>482</v>
      </c>
      <c r="F54" s="3" t="s">
        <v>483</v>
      </c>
      <c r="G54" s="3" t="s">
        <v>484</v>
      </c>
      <c r="H54" s="3" t="s">
        <v>60</v>
      </c>
      <c r="I54" s="3" t="s">
        <v>102</v>
      </c>
      <c r="J54" s="3" t="s">
        <v>29</v>
      </c>
      <c r="K54" s="3" t="s">
        <v>61</v>
      </c>
      <c r="L54" s="3" t="s">
        <v>104</v>
      </c>
      <c r="M54" s="3" t="s">
        <v>63</v>
      </c>
      <c r="N54" s="3" t="s">
        <v>485</v>
      </c>
      <c r="O54" s="3" t="s">
        <v>148</v>
      </c>
      <c r="P54" s="3" t="s">
        <v>35</v>
      </c>
      <c r="Q54" s="3" t="s">
        <v>486</v>
      </c>
      <c r="R54" s="3" t="s">
        <v>487</v>
      </c>
      <c r="S54" s="3" t="s">
        <v>38</v>
      </c>
      <c r="T54" s="3" t="s">
        <v>80</v>
      </c>
    </row>
    <row r="55" spans="1:20" x14ac:dyDescent="0.3">
      <c r="A55" s="3" t="s">
        <v>488</v>
      </c>
      <c r="B55" s="3" t="s">
        <v>303</v>
      </c>
      <c r="C55" s="3" t="s">
        <v>341</v>
      </c>
      <c r="D55" s="3" t="s">
        <v>241</v>
      </c>
      <c r="E55" s="3" t="s">
        <v>489</v>
      </c>
      <c r="F55" s="3" t="s">
        <v>490</v>
      </c>
      <c r="G55" s="3" t="s">
        <v>491</v>
      </c>
      <c r="H55" s="3" t="s">
        <v>311</v>
      </c>
      <c r="I55" s="3" t="s">
        <v>47</v>
      </c>
      <c r="J55" s="3" t="s">
        <v>29</v>
      </c>
      <c r="K55" s="3" t="s">
        <v>61</v>
      </c>
      <c r="L55" s="3" t="s">
        <v>115</v>
      </c>
      <c r="M55" s="3" t="s">
        <v>90</v>
      </c>
      <c r="N55" s="3" t="s">
        <v>303</v>
      </c>
      <c r="O55" s="3" t="s">
        <v>148</v>
      </c>
      <c r="P55" s="3" t="s">
        <v>35</v>
      </c>
      <c r="Q55" s="3" t="s">
        <v>492</v>
      </c>
      <c r="R55" s="3" t="s">
        <v>493</v>
      </c>
      <c r="S55" s="3" t="s">
        <v>53</v>
      </c>
      <c r="T55" s="3" t="s">
        <v>186</v>
      </c>
    </row>
    <row r="56" spans="1:20" x14ac:dyDescent="0.3">
      <c r="A56" s="3" t="s">
        <v>494</v>
      </c>
      <c r="B56" s="3" t="s">
        <v>495</v>
      </c>
      <c r="C56" s="3" t="s">
        <v>325</v>
      </c>
      <c r="D56" s="3" t="s">
        <v>154</v>
      </c>
      <c r="E56" s="3" t="s">
        <v>496</v>
      </c>
      <c r="F56" s="3" t="s">
        <v>497</v>
      </c>
      <c r="G56" s="3" t="s">
        <v>498</v>
      </c>
      <c r="H56" s="3" t="s">
        <v>88</v>
      </c>
      <c r="I56" s="3" t="s">
        <v>128</v>
      </c>
      <c r="J56" s="3" t="s">
        <v>29</v>
      </c>
      <c r="K56" s="3" t="s">
        <v>146</v>
      </c>
      <c r="L56" s="3" t="s">
        <v>115</v>
      </c>
      <c r="M56" s="3" t="s">
        <v>63</v>
      </c>
      <c r="N56" s="3" t="s">
        <v>307</v>
      </c>
      <c r="O56" s="3" t="s">
        <v>50</v>
      </c>
      <c r="P56" s="3" t="s">
        <v>35</v>
      </c>
      <c r="Q56" s="3" t="s">
        <v>499</v>
      </c>
      <c r="R56" s="3" t="s">
        <v>500</v>
      </c>
      <c r="S56" s="3" t="s">
        <v>53</v>
      </c>
      <c r="T56" s="3" t="s">
        <v>68</v>
      </c>
    </row>
    <row r="57" spans="1:20" x14ac:dyDescent="0.3">
      <c r="A57" s="3" t="s">
        <v>501</v>
      </c>
      <c r="B57" s="3" t="s">
        <v>403</v>
      </c>
      <c r="C57" s="3" t="s">
        <v>502</v>
      </c>
      <c r="D57" s="3" t="s">
        <v>72</v>
      </c>
      <c r="E57" s="3" t="s">
        <v>503</v>
      </c>
      <c r="F57" s="3" t="s">
        <v>504</v>
      </c>
      <c r="G57" s="3" t="s">
        <v>505</v>
      </c>
      <c r="H57" s="3" t="s">
        <v>158</v>
      </c>
      <c r="I57" s="3" t="s">
        <v>28</v>
      </c>
      <c r="J57" s="3" t="s">
        <v>29</v>
      </c>
      <c r="K57" s="3" t="s">
        <v>220</v>
      </c>
      <c r="L57" s="3" t="s">
        <v>62</v>
      </c>
      <c r="M57" s="3" t="s">
        <v>63</v>
      </c>
      <c r="N57" s="3" t="s">
        <v>506</v>
      </c>
      <c r="O57" s="3" t="s">
        <v>278</v>
      </c>
      <c r="P57" s="3" t="s">
        <v>119</v>
      </c>
      <c r="Q57" s="3" t="s">
        <v>507</v>
      </c>
      <c r="R57" s="3" t="s">
        <v>508</v>
      </c>
      <c r="S57" s="3" t="s">
        <v>53</v>
      </c>
      <c r="T57" s="3" t="s">
        <v>186</v>
      </c>
    </row>
    <row r="58" spans="1:20" x14ac:dyDescent="0.3">
      <c r="A58" s="3" t="s">
        <v>509</v>
      </c>
      <c r="B58" s="3" t="s">
        <v>510</v>
      </c>
      <c r="C58" s="3" t="s">
        <v>283</v>
      </c>
      <c r="D58" s="3" t="s">
        <v>72</v>
      </c>
      <c r="E58" s="3" t="s">
        <v>511</v>
      </c>
      <c r="F58" s="3" t="s">
        <v>512</v>
      </c>
      <c r="G58" s="3" t="s">
        <v>513</v>
      </c>
      <c r="H58" s="3" t="s">
        <v>46</v>
      </c>
      <c r="I58" s="3" t="s">
        <v>245</v>
      </c>
      <c r="J58" s="3" t="s">
        <v>29</v>
      </c>
      <c r="K58" s="3" t="s">
        <v>146</v>
      </c>
      <c r="L58" s="3" t="s">
        <v>62</v>
      </c>
      <c r="M58" s="3" t="s">
        <v>63</v>
      </c>
      <c r="N58" s="3" t="s">
        <v>282</v>
      </c>
      <c r="O58" s="3" t="s">
        <v>278</v>
      </c>
      <c r="P58" s="3" t="s">
        <v>119</v>
      </c>
      <c r="Q58" s="3" t="s">
        <v>514</v>
      </c>
      <c r="R58" s="3" t="s">
        <v>515</v>
      </c>
      <c r="S58" s="3" t="s">
        <v>53</v>
      </c>
      <c r="T58" s="3" t="s">
        <v>68</v>
      </c>
    </row>
    <row r="59" spans="1:20" x14ac:dyDescent="0.3">
      <c r="A59" s="3" t="s">
        <v>516</v>
      </c>
      <c r="B59" s="3" t="s">
        <v>194</v>
      </c>
      <c r="C59" s="3" t="s">
        <v>134</v>
      </c>
      <c r="D59" s="3" t="s">
        <v>124</v>
      </c>
      <c r="E59" s="3" t="s">
        <v>517</v>
      </c>
      <c r="F59" s="3" t="s">
        <v>518</v>
      </c>
      <c r="G59" s="3" t="s">
        <v>519</v>
      </c>
      <c r="H59" s="3" t="s">
        <v>60</v>
      </c>
      <c r="I59" s="3" t="s">
        <v>245</v>
      </c>
      <c r="J59" s="3" t="s">
        <v>29</v>
      </c>
      <c r="K59" s="3" t="s">
        <v>30</v>
      </c>
      <c r="L59" s="3" t="s">
        <v>48</v>
      </c>
      <c r="M59" s="3" t="s">
        <v>116</v>
      </c>
      <c r="N59" s="3" t="s">
        <v>520</v>
      </c>
      <c r="O59" s="3" t="s">
        <v>34</v>
      </c>
      <c r="P59" s="3" t="s">
        <v>35</v>
      </c>
      <c r="Q59" s="3" t="s">
        <v>521</v>
      </c>
      <c r="R59" s="3" t="s">
        <v>522</v>
      </c>
      <c r="S59" s="3" t="s">
        <v>53</v>
      </c>
      <c r="T59" s="3" t="s">
        <v>68</v>
      </c>
    </row>
    <row r="60" spans="1:20" x14ac:dyDescent="0.3">
      <c r="A60" s="3" t="s">
        <v>523</v>
      </c>
      <c r="B60" s="3" t="s">
        <v>41</v>
      </c>
      <c r="C60" s="3" t="s">
        <v>42</v>
      </c>
      <c r="D60" s="3" t="s">
        <v>23</v>
      </c>
      <c r="E60" s="3" t="s">
        <v>524</v>
      </c>
      <c r="F60" s="3" t="s">
        <v>525</v>
      </c>
      <c r="G60" s="3" t="s">
        <v>526</v>
      </c>
      <c r="H60" s="3" t="s">
        <v>60</v>
      </c>
      <c r="I60" s="3" t="s">
        <v>245</v>
      </c>
      <c r="J60" s="3" t="s">
        <v>29</v>
      </c>
      <c r="K60" s="3" t="s">
        <v>89</v>
      </c>
      <c r="L60" s="3" t="s">
        <v>31</v>
      </c>
      <c r="M60" s="3" t="s">
        <v>63</v>
      </c>
      <c r="N60" s="3" t="s">
        <v>527</v>
      </c>
      <c r="O60" s="3" t="s">
        <v>50</v>
      </c>
      <c r="P60" s="3" t="s">
        <v>35</v>
      </c>
      <c r="Q60" s="3" t="s">
        <v>528</v>
      </c>
      <c r="R60" s="3" t="s">
        <v>529</v>
      </c>
      <c r="S60" s="3" t="s">
        <v>38</v>
      </c>
      <c r="T60" s="3" t="s">
        <v>68</v>
      </c>
    </row>
    <row r="61" spans="1:20" x14ac:dyDescent="0.3">
      <c r="A61" s="3" t="s">
        <v>530</v>
      </c>
      <c r="B61" s="3" t="s">
        <v>375</v>
      </c>
      <c r="C61" s="3" t="s">
        <v>258</v>
      </c>
      <c r="D61" s="3" t="s">
        <v>72</v>
      </c>
      <c r="E61" s="3" t="s">
        <v>531</v>
      </c>
      <c r="F61" s="3" t="s">
        <v>532</v>
      </c>
      <c r="G61" s="3" t="s">
        <v>533</v>
      </c>
      <c r="H61" s="3" t="s">
        <v>158</v>
      </c>
      <c r="I61" s="3" t="s">
        <v>47</v>
      </c>
      <c r="J61" s="3" t="s">
        <v>29</v>
      </c>
      <c r="K61" s="3" t="s">
        <v>146</v>
      </c>
      <c r="L61" s="3" t="s">
        <v>104</v>
      </c>
      <c r="M61" s="3" t="s">
        <v>32</v>
      </c>
      <c r="N61" s="3" t="s">
        <v>495</v>
      </c>
      <c r="O61" s="3" t="s">
        <v>278</v>
      </c>
      <c r="P61" s="3" t="s">
        <v>119</v>
      </c>
      <c r="Q61" s="3" t="s">
        <v>534</v>
      </c>
      <c r="R61" s="3" t="s">
        <v>535</v>
      </c>
      <c r="S61" s="3" t="s">
        <v>53</v>
      </c>
      <c r="T61" s="3" t="s">
        <v>248</v>
      </c>
    </row>
    <row r="62" spans="1:20" x14ac:dyDescent="0.3">
      <c r="A62" s="3" t="s">
        <v>536</v>
      </c>
      <c r="B62" s="3" t="s">
        <v>537</v>
      </c>
      <c r="C62" s="3" t="s">
        <v>42</v>
      </c>
      <c r="D62" s="3" t="s">
        <v>135</v>
      </c>
      <c r="E62" s="3" t="s">
        <v>538</v>
      </c>
      <c r="F62" s="3" t="s">
        <v>539</v>
      </c>
      <c r="G62" s="3" t="s">
        <v>540</v>
      </c>
      <c r="H62" s="3" t="s">
        <v>311</v>
      </c>
      <c r="I62" s="3" t="s">
        <v>47</v>
      </c>
      <c r="J62" s="3" t="s">
        <v>29</v>
      </c>
      <c r="K62" s="3" t="s">
        <v>61</v>
      </c>
      <c r="L62" s="3" t="s">
        <v>115</v>
      </c>
      <c r="M62" s="3" t="s">
        <v>116</v>
      </c>
      <c r="N62" s="3" t="s">
        <v>340</v>
      </c>
      <c r="O62" s="3" t="s">
        <v>118</v>
      </c>
      <c r="P62" s="3" t="s">
        <v>119</v>
      </c>
      <c r="Q62" s="3" t="s">
        <v>541</v>
      </c>
      <c r="R62" s="3" t="s">
        <v>542</v>
      </c>
      <c r="S62" s="3" t="s">
        <v>53</v>
      </c>
      <c r="T62" s="3" t="s">
        <v>186</v>
      </c>
    </row>
    <row r="63" spans="1:20" x14ac:dyDescent="0.3">
      <c r="A63" s="3" t="s">
        <v>543</v>
      </c>
      <c r="B63" s="3" t="s">
        <v>82</v>
      </c>
      <c r="C63" s="3" t="s">
        <v>83</v>
      </c>
      <c r="D63" s="3" t="s">
        <v>84</v>
      </c>
      <c r="E63" s="3" t="s">
        <v>544</v>
      </c>
      <c r="F63" s="3" t="s">
        <v>545</v>
      </c>
      <c r="G63" s="3" t="s">
        <v>546</v>
      </c>
      <c r="H63" s="3" t="s">
        <v>27</v>
      </c>
      <c r="I63" s="3" t="s">
        <v>245</v>
      </c>
      <c r="J63" s="3" t="s">
        <v>29</v>
      </c>
      <c r="K63" s="3" t="s">
        <v>61</v>
      </c>
      <c r="L63" s="3" t="s">
        <v>104</v>
      </c>
      <c r="M63" s="3" t="s">
        <v>90</v>
      </c>
      <c r="N63" s="3" t="s">
        <v>547</v>
      </c>
      <c r="O63" s="3" t="s">
        <v>106</v>
      </c>
      <c r="P63" s="3" t="s">
        <v>107</v>
      </c>
      <c r="Q63" s="3" t="s">
        <v>548</v>
      </c>
      <c r="R63" s="3" t="s">
        <v>549</v>
      </c>
      <c r="S63" s="3" t="s">
        <v>38</v>
      </c>
      <c r="T63" s="3" t="s">
        <v>80</v>
      </c>
    </row>
    <row r="64" spans="1:20" x14ac:dyDescent="0.3">
      <c r="A64" s="3" t="s">
        <v>550</v>
      </c>
      <c r="B64" s="3" t="s">
        <v>411</v>
      </c>
      <c r="C64" s="3" t="s">
        <v>341</v>
      </c>
      <c r="D64" s="3" t="s">
        <v>124</v>
      </c>
      <c r="E64" s="3" t="s">
        <v>551</v>
      </c>
      <c r="F64" s="3" t="s">
        <v>552</v>
      </c>
      <c r="G64" s="3" t="s">
        <v>553</v>
      </c>
      <c r="H64" s="3" t="s">
        <v>76</v>
      </c>
      <c r="I64" s="3" t="s">
        <v>128</v>
      </c>
      <c r="J64" s="3" t="s">
        <v>29</v>
      </c>
      <c r="K64" s="3" t="s">
        <v>30</v>
      </c>
      <c r="L64" s="3" t="s">
        <v>115</v>
      </c>
      <c r="M64" s="3" t="s">
        <v>90</v>
      </c>
      <c r="N64" s="3" t="s">
        <v>554</v>
      </c>
      <c r="O64" s="3" t="s">
        <v>118</v>
      </c>
      <c r="P64" s="3" t="s">
        <v>119</v>
      </c>
      <c r="Q64" s="3" t="s">
        <v>555</v>
      </c>
      <c r="R64" s="3" t="s">
        <v>556</v>
      </c>
      <c r="S64" s="3" t="s">
        <v>53</v>
      </c>
      <c r="T64" s="3" t="s">
        <v>39</v>
      </c>
    </row>
    <row r="65" spans="1:20" x14ac:dyDescent="0.3">
      <c r="A65" s="3" t="s">
        <v>557</v>
      </c>
      <c r="B65" s="3" t="s">
        <v>133</v>
      </c>
      <c r="C65" s="3" t="s">
        <v>134</v>
      </c>
      <c r="D65" s="3" t="s">
        <v>135</v>
      </c>
      <c r="E65" s="3" t="s">
        <v>558</v>
      </c>
      <c r="F65" s="3" t="s">
        <v>559</v>
      </c>
      <c r="G65" s="3" t="s">
        <v>560</v>
      </c>
      <c r="H65" s="3" t="s">
        <v>311</v>
      </c>
      <c r="I65" s="3" t="s">
        <v>28</v>
      </c>
      <c r="J65" s="3" t="s">
        <v>29</v>
      </c>
      <c r="K65" s="3" t="s">
        <v>103</v>
      </c>
      <c r="L65" s="3" t="s">
        <v>31</v>
      </c>
      <c r="M65" s="3" t="s">
        <v>116</v>
      </c>
      <c r="N65" s="3" t="s">
        <v>64</v>
      </c>
      <c r="O65" s="3" t="s">
        <v>278</v>
      </c>
      <c r="P65" s="3" t="s">
        <v>119</v>
      </c>
      <c r="Q65" s="3" t="s">
        <v>561</v>
      </c>
      <c r="R65" s="3" t="s">
        <v>562</v>
      </c>
      <c r="S65" s="3" t="s">
        <v>53</v>
      </c>
      <c r="T65" s="3" t="s">
        <v>80</v>
      </c>
    </row>
    <row r="66" spans="1:20" x14ac:dyDescent="0.3">
      <c r="A66" s="3" t="s">
        <v>563</v>
      </c>
      <c r="B66" s="3" t="s">
        <v>382</v>
      </c>
      <c r="C66" s="3" t="s">
        <v>83</v>
      </c>
      <c r="D66" s="3" t="s">
        <v>164</v>
      </c>
      <c r="E66" s="3" t="s">
        <v>564</v>
      </c>
      <c r="F66" s="3" t="s">
        <v>565</v>
      </c>
      <c r="G66" s="3" t="s">
        <v>566</v>
      </c>
      <c r="H66" s="3" t="s">
        <v>27</v>
      </c>
      <c r="I66" s="3" t="s">
        <v>245</v>
      </c>
      <c r="J66" s="3" t="s">
        <v>29</v>
      </c>
      <c r="K66" s="3" t="s">
        <v>30</v>
      </c>
      <c r="L66" s="3" t="s">
        <v>104</v>
      </c>
      <c r="M66" s="3" t="s">
        <v>90</v>
      </c>
      <c r="N66" s="3" t="s">
        <v>567</v>
      </c>
      <c r="O66" s="3" t="s">
        <v>34</v>
      </c>
      <c r="P66" s="3" t="s">
        <v>35</v>
      </c>
      <c r="Q66" s="3" t="s">
        <v>568</v>
      </c>
      <c r="R66" s="3" t="s">
        <v>569</v>
      </c>
      <c r="S66" s="3" t="s">
        <v>38</v>
      </c>
      <c r="T66" s="3" t="s">
        <v>68</v>
      </c>
    </row>
    <row r="67" spans="1:20" x14ac:dyDescent="0.3">
      <c r="A67" s="3" t="s">
        <v>570</v>
      </c>
      <c r="B67" s="3" t="s">
        <v>459</v>
      </c>
      <c r="C67" s="3" t="s">
        <v>42</v>
      </c>
      <c r="D67" s="3" t="s">
        <v>164</v>
      </c>
      <c r="E67" s="3" t="s">
        <v>571</v>
      </c>
      <c r="F67" s="3" t="s">
        <v>572</v>
      </c>
      <c r="G67" s="3" t="s">
        <v>573</v>
      </c>
      <c r="H67" s="3" t="s">
        <v>27</v>
      </c>
      <c r="I67" s="3" t="s">
        <v>245</v>
      </c>
      <c r="J67" s="3" t="s">
        <v>29</v>
      </c>
      <c r="K67" s="3" t="s">
        <v>61</v>
      </c>
      <c r="L67" s="3" t="s">
        <v>31</v>
      </c>
      <c r="M67" s="3" t="s">
        <v>32</v>
      </c>
      <c r="N67" s="3" t="s">
        <v>574</v>
      </c>
      <c r="O67" s="3" t="s">
        <v>278</v>
      </c>
      <c r="P67" s="3" t="s">
        <v>119</v>
      </c>
      <c r="Q67" s="3" t="s">
        <v>575</v>
      </c>
      <c r="R67" s="3" t="s">
        <v>576</v>
      </c>
      <c r="S67" s="3" t="s">
        <v>38</v>
      </c>
      <c r="T67" s="3" t="s">
        <v>151</v>
      </c>
    </row>
    <row r="68" spans="1:20" x14ac:dyDescent="0.3">
      <c r="A68" s="3" t="s">
        <v>577</v>
      </c>
      <c r="B68" s="3" t="s">
        <v>287</v>
      </c>
      <c r="C68" s="3" t="s">
        <v>350</v>
      </c>
      <c r="D68" s="3" t="s">
        <v>23</v>
      </c>
      <c r="E68" s="3" t="s">
        <v>578</v>
      </c>
      <c r="F68" s="3" t="s">
        <v>579</v>
      </c>
      <c r="G68" s="3" t="s">
        <v>580</v>
      </c>
      <c r="H68" s="3" t="s">
        <v>88</v>
      </c>
      <c r="I68" s="3" t="s">
        <v>88</v>
      </c>
      <c r="J68" s="3" t="s">
        <v>29</v>
      </c>
      <c r="K68" s="3" t="s">
        <v>30</v>
      </c>
      <c r="L68" s="3" t="s">
        <v>48</v>
      </c>
      <c r="M68" s="3" t="s">
        <v>32</v>
      </c>
      <c r="N68" s="3" t="s">
        <v>129</v>
      </c>
      <c r="O68" s="3" t="s">
        <v>34</v>
      </c>
      <c r="P68" s="3" t="s">
        <v>35</v>
      </c>
      <c r="Q68" s="3" t="s">
        <v>581</v>
      </c>
      <c r="R68" s="3" t="s">
        <v>582</v>
      </c>
      <c r="S68" s="3" t="s">
        <v>53</v>
      </c>
      <c r="T68" s="3" t="s">
        <v>248</v>
      </c>
    </row>
    <row r="69" spans="1:20" x14ac:dyDescent="0.3">
      <c r="A69" s="3" t="s">
        <v>583</v>
      </c>
      <c r="B69" s="3" t="s">
        <v>215</v>
      </c>
      <c r="C69" s="3" t="s">
        <v>216</v>
      </c>
      <c r="D69" s="3" t="s">
        <v>189</v>
      </c>
      <c r="E69" s="3" t="s">
        <v>584</v>
      </c>
      <c r="F69" s="3" t="s">
        <v>585</v>
      </c>
      <c r="G69" s="3" t="s">
        <v>586</v>
      </c>
      <c r="H69" s="3" t="s">
        <v>193</v>
      </c>
      <c r="I69" s="3" t="s">
        <v>47</v>
      </c>
      <c r="J69" s="3" t="s">
        <v>29</v>
      </c>
      <c r="K69" s="3" t="s">
        <v>146</v>
      </c>
      <c r="L69" s="3" t="s">
        <v>115</v>
      </c>
      <c r="M69" s="3" t="s">
        <v>116</v>
      </c>
      <c r="N69" s="3" t="s">
        <v>123</v>
      </c>
      <c r="O69" s="3" t="s">
        <v>148</v>
      </c>
      <c r="P69" s="3" t="s">
        <v>35</v>
      </c>
      <c r="Q69" s="3" t="s">
        <v>587</v>
      </c>
      <c r="R69" s="3" t="s">
        <v>588</v>
      </c>
      <c r="S69" s="3" t="s">
        <v>53</v>
      </c>
      <c r="T69" s="3" t="s">
        <v>151</v>
      </c>
    </row>
    <row r="70" spans="1:20" x14ac:dyDescent="0.3">
      <c r="A70" s="3" t="s">
        <v>589</v>
      </c>
      <c r="B70" s="3" t="s">
        <v>49</v>
      </c>
      <c r="C70" s="3" t="s">
        <v>216</v>
      </c>
      <c r="D70" s="3" t="s">
        <v>164</v>
      </c>
      <c r="E70" s="3" t="s">
        <v>590</v>
      </c>
      <c r="F70" s="3" t="s">
        <v>591</v>
      </c>
      <c r="G70" s="3" t="s">
        <v>592</v>
      </c>
      <c r="H70" s="3" t="s">
        <v>46</v>
      </c>
      <c r="I70" s="3" t="s">
        <v>47</v>
      </c>
      <c r="J70" s="3" t="s">
        <v>29</v>
      </c>
      <c r="K70" s="3" t="s">
        <v>61</v>
      </c>
      <c r="L70" s="3" t="s">
        <v>31</v>
      </c>
      <c r="M70" s="3" t="s">
        <v>63</v>
      </c>
      <c r="N70" s="3" t="s">
        <v>329</v>
      </c>
      <c r="O70" s="3" t="s">
        <v>148</v>
      </c>
      <c r="P70" s="3" t="s">
        <v>35</v>
      </c>
      <c r="Q70" s="3" t="s">
        <v>593</v>
      </c>
      <c r="R70" s="3" t="s">
        <v>594</v>
      </c>
      <c r="S70" s="3" t="s">
        <v>38</v>
      </c>
      <c r="T70" s="3" t="s">
        <v>186</v>
      </c>
    </row>
    <row r="71" spans="1:20" x14ac:dyDescent="0.3">
      <c r="A71" s="3" t="s">
        <v>595</v>
      </c>
      <c r="B71" s="3" t="s">
        <v>368</v>
      </c>
      <c r="C71" s="3" t="s">
        <v>42</v>
      </c>
      <c r="D71" s="3" t="s">
        <v>72</v>
      </c>
      <c r="E71" s="3" t="s">
        <v>596</v>
      </c>
      <c r="F71" s="3" t="s">
        <v>597</v>
      </c>
      <c r="G71" s="3" t="s">
        <v>598</v>
      </c>
      <c r="H71" s="3" t="s">
        <v>76</v>
      </c>
      <c r="I71" s="3" t="s">
        <v>47</v>
      </c>
      <c r="J71" s="3" t="s">
        <v>29</v>
      </c>
      <c r="K71" s="3" t="s">
        <v>103</v>
      </c>
      <c r="L71" s="3" t="s">
        <v>48</v>
      </c>
      <c r="M71" s="3" t="s">
        <v>90</v>
      </c>
      <c r="N71" s="3" t="s">
        <v>459</v>
      </c>
      <c r="O71" s="3" t="s">
        <v>118</v>
      </c>
      <c r="P71" s="3" t="s">
        <v>119</v>
      </c>
      <c r="Q71" s="3" t="s">
        <v>599</v>
      </c>
      <c r="R71" s="3" t="s">
        <v>600</v>
      </c>
      <c r="S71" s="3" t="s">
        <v>38</v>
      </c>
      <c r="T71" s="3" t="s">
        <v>186</v>
      </c>
    </row>
    <row r="72" spans="1:20" x14ac:dyDescent="0.3">
      <c r="A72" s="3" t="s">
        <v>601</v>
      </c>
      <c r="B72" s="3" t="s">
        <v>602</v>
      </c>
      <c r="C72" s="3" t="s">
        <v>83</v>
      </c>
      <c r="D72" s="3" t="s">
        <v>124</v>
      </c>
      <c r="E72" s="3" t="s">
        <v>603</v>
      </c>
      <c r="F72" s="3" t="s">
        <v>604</v>
      </c>
      <c r="G72" s="3" t="s">
        <v>605</v>
      </c>
      <c r="H72" s="3" t="s">
        <v>193</v>
      </c>
      <c r="I72" s="3" t="s">
        <v>245</v>
      </c>
      <c r="J72" s="3" t="s">
        <v>29</v>
      </c>
      <c r="K72" s="3" t="s">
        <v>146</v>
      </c>
      <c r="L72" s="3" t="s">
        <v>115</v>
      </c>
      <c r="M72" s="3" t="s">
        <v>32</v>
      </c>
      <c r="N72" s="3" t="s">
        <v>606</v>
      </c>
      <c r="O72" s="3" t="s">
        <v>118</v>
      </c>
      <c r="P72" s="3" t="s">
        <v>119</v>
      </c>
      <c r="Q72" s="3" t="s">
        <v>607</v>
      </c>
      <c r="R72" s="3" t="s">
        <v>608</v>
      </c>
      <c r="S72" s="3" t="s">
        <v>53</v>
      </c>
      <c r="T72" s="3" t="s">
        <v>151</v>
      </c>
    </row>
    <row r="73" spans="1:20" x14ac:dyDescent="0.3">
      <c r="A73" s="3" t="s">
        <v>609</v>
      </c>
      <c r="B73" s="3" t="s">
        <v>262</v>
      </c>
      <c r="C73" s="3" t="s">
        <v>22</v>
      </c>
      <c r="D73" s="3" t="s">
        <v>124</v>
      </c>
      <c r="E73" s="3" t="s">
        <v>610</v>
      </c>
      <c r="F73" s="3" t="s">
        <v>611</v>
      </c>
      <c r="G73" s="3" t="s">
        <v>612</v>
      </c>
      <c r="H73" s="3" t="s">
        <v>60</v>
      </c>
      <c r="I73" s="3" t="s">
        <v>47</v>
      </c>
      <c r="J73" s="3" t="s">
        <v>29</v>
      </c>
      <c r="K73" s="3" t="s">
        <v>89</v>
      </c>
      <c r="L73" s="3" t="s">
        <v>104</v>
      </c>
      <c r="M73" s="3" t="s">
        <v>63</v>
      </c>
      <c r="N73" s="3" t="s">
        <v>613</v>
      </c>
      <c r="O73" s="3" t="s">
        <v>278</v>
      </c>
      <c r="P73" s="3" t="s">
        <v>119</v>
      </c>
      <c r="Q73" s="3" t="s">
        <v>614</v>
      </c>
      <c r="R73" s="3" t="s">
        <v>615</v>
      </c>
      <c r="S73" s="3" t="s">
        <v>53</v>
      </c>
      <c r="T73" s="3" t="s">
        <v>151</v>
      </c>
    </row>
    <row r="74" spans="1:20" x14ac:dyDescent="0.3">
      <c r="A74" s="3" t="s">
        <v>616</v>
      </c>
      <c r="B74" s="3" t="s">
        <v>203</v>
      </c>
      <c r="C74" s="3" t="s">
        <v>134</v>
      </c>
      <c r="D74" s="3" t="s">
        <v>84</v>
      </c>
      <c r="E74" s="3" t="s">
        <v>617</v>
      </c>
      <c r="F74" s="3" t="s">
        <v>618</v>
      </c>
      <c r="G74" s="3" t="s">
        <v>619</v>
      </c>
      <c r="H74" s="3" t="s">
        <v>27</v>
      </c>
      <c r="I74" s="3" t="s">
        <v>47</v>
      </c>
      <c r="J74" s="3" t="s">
        <v>29</v>
      </c>
      <c r="K74" s="3" t="s">
        <v>30</v>
      </c>
      <c r="L74" s="3" t="s">
        <v>115</v>
      </c>
      <c r="M74" s="3" t="s">
        <v>116</v>
      </c>
      <c r="N74" s="3" t="s">
        <v>620</v>
      </c>
      <c r="O74" s="3" t="s">
        <v>34</v>
      </c>
      <c r="P74" s="3" t="s">
        <v>35</v>
      </c>
      <c r="Q74" s="3" t="s">
        <v>621</v>
      </c>
      <c r="R74" s="3" t="s">
        <v>622</v>
      </c>
      <c r="S74" s="3" t="s">
        <v>53</v>
      </c>
      <c r="T74" s="3" t="s">
        <v>68</v>
      </c>
    </row>
    <row r="75" spans="1:20" x14ac:dyDescent="0.3">
      <c r="A75" s="3" t="s">
        <v>623</v>
      </c>
      <c r="B75" s="3" t="s">
        <v>349</v>
      </c>
      <c r="C75" s="3" t="s">
        <v>350</v>
      </c>
      <c r="D75" s="3" t="s">
        <v>98</v>
      </c>
      <c r="E75" s="3" t="s">
        <v>624</v>
      </c>
      <c r="F75" s="3" t="s">
        <v>625</v>
      </c>
      <c r="G75" s="3" t="s">
        <v>626</v>
      </c>
      <c r="H75" s="3" t="s">
        <v>193</v>
      </c>
      <c r="I75" s="3" t="s">
        <v>245</v>
      </c>
      <c r="J75" s="3" t="s">
        <v>29</v>
      </c>
      <c r="K75" s="3" t="s">
        <v>30</v>
      </c>
      <c r="L75" s="3" t="s">
        <v>104</v>
      </c>
      <c r="M75" s="3" t="s">
        <v>90</v>
      </c>
      <c r="N75" s="3" t="s">
        <v>333</v>
      </c>
      <c r="O75" s="3" t="s">
        <v>118</v>
      </c>
      <c r="P75" s="3" t="s">
        <v>119</v>
      </c>
      <c r="Q75" s="3" t="s">
        <v>627</v>
      </c>
      <c r="R75" s="3" t="s">
        <v>628</v>
      </c>
      <c r="S75" s="3" t="s">
        <v>38</v>
      </c>
      <c r="T75" s="3" t="s">
        <v>68</v>
      </c>
    </row>
    <row r="76" spans="1:20" x14ac:dyDescent="0.3">
      <c r="A76" s="3" t="s">
        <v>629</v>
      </c>
      <c r="B76" s="3" t="s">
        <v>485</v>
      </c>
      <c r="C76" s="3" t="s">
        <v>56</v>
      </c>
      <c r="D76" s="3" t="s">
        <v>98</v>
      </c>
      <c r="E76" s="3" t="s">
        <v>630</v>
      </c>
      <c r="F76" s="3" t="s">
        <v>631</v>
      </c>
      <c r="G76" s="3" t="s">
        <v>632</v>
      </c>
      <c r="H76" s="3" t="s">
        <v>311</v>
      </c>
      <c r="I76" s="3" t="s">
        <v>114</v>
      </c>
      <c r="J76" s="3" t="s">
        <v>29</v>
      </c>
      <c r="K76" s="3" t="s">
        <v>103</v>
      </c>
      <c r="L76" s="3" t="s">
        <v>31</v>
      </c>
      <c r="M76" s="3" t="s">
        <v>116</v>
      </c>
      <c r="N76" s="3" t="s">
        <v>633</v>
      </c>
      <c r="O76" s="3" t="s">
        <v>148</v>
      </c>
      <c r="P76" s="3" t="s">
        <v>35</v>
      </c>
      <c r="Q76" s="3" t="s">
        <v>634</v>
      </c>
      <c r="R76" s="3" t="s">
        <v>635</v>
      </c>
      <c r="S76" s="3" t="s">
        <v>53</v>
      </c>
      <c r="T76" s="3" t="s">
        <v>151</v>
      </c>
    </row>
    <row r="77" spans="1:20" x14ac:dyDescent="0.3">
      <c r="A77" s="3" t="s">
        <v>636</v>
      </c>
      <c r="B77" s="3" t="s">
        <v>277</v>
      </c>
      <c r="C77" s="3" t="s">
        <v>325</v>
      </c>
      <c r="D77" s="3" t="s">
        <v>135</v>
      </c>
      <c r="E77" s="3" t="s">
        <v>637</v>
      </c>
      <c r="F77" s="3" t="s">
        <v>638</v>
      </c>
      <c r="G77" s="3" t="s">
        <v>639</v>
      </c>
      <c r="H77" s="3" t="s">
        <v>60</v>
      </c>
      <c r="I77" s="3" t="s">
        <v>114</v>
      </c>
      <c r="J77" s="3" t="s">
        <v>29</v>
      </c>
      <c r="K77" s="3" t="s">
        <v>89</v>
      </c>
      <c r="L77" s="3" t="s">
        <v>115</v>
      </c>
      <c r="M77" s="3" t="s">
        <v>32</v>
      </c>
      <c r="N77" s="3" t="s">
        <v>554</v>
      </c>
      <c r="O77" s="3" t="s">
        <v>65</v>
      </c>
      <c r="P77" s="3" t="s">
        <v>35</v>
      </c>
      <c r="Q77" s="3" t="s">
        <v>640</v>
      </c>
      <c r="R77" s="3" t="s">
        <v>641</v>
      </c>
      <c r="S77" s="3" t="s">
        <v>53</v>
      </c>
      <c r="T77" s="3" t="s">
        <v>186</v>
      </c>
    </row>
    <row r="78" spans="1:20" x14ac:dyDescent="0.3">
      <c r="A78" s="3" t="s">
        <v>642</v>
      </c>
      <c r="B78" s="3" t="s">
        <v>179</v>
      </c>
      <c r="C78" s="3" t="s">
        <v>180</v>
      </c>
      <c r="D78" s="3" t="s">
        <v>124</v>
      </c>
      <c r="E78" s="3" t="s">
        <v>643</v>
      </c>
      <c r="F78" s="3" t="s">
        <v>644</v>
      </c>
      <c r="G78" s="3" t="s">
        <v>645</v>
      </c>
      <c r="H78" s="3" t="s">
        <v>158</v>
      </c>
      <c r="I78" s="3" t="s">
        <v>102</v>
      </c>
      <c r="J78" s="3" t="s">
        <v>29</v>
      </c>
      <c r="K78" s="3" t="s">
        <v>61</v>
      </c>
      <c r="L78" s="3" t="s">
        <v>115</v>
      </c>
      <c r="M78" s="3" t="s">
        <v>116</v>
      </c>
      <c r="N78" s="3" t="s">
        <v>277</v>
      </c>
      <c r="O78" s="3" t="s">
        <v>50</v>
      </c>
      <c r="P78" s="3" t="s">
        <v>35</v>
      </c>
      <c r="Q78" s="3" t="s">
        <v>646</v>
      </c>
      <c r="R78" s="3" t="s">
        <v>647</v>
      </c>
      <c r="S78" s="3" t="s">
        <v>53</v>
      </c>
      <c r="T78" s="3" t="s">
        <v>248</v>
      </c>
    </row>
    <row r="79" spans="1:20" x14ac:dyDescent="0.3">
      <c r="A79" s="3" t="s">
        <v>648</v>
      </c>
      <c r="B79" s="3" t="s">
        <v>82</v>
      </c>
      <c r="C79" s="3" t="s">
        <v>83</v>
      </c>
      <c r="D79" s="3" t="s">
        <v>84</v>
      </c>
      <c r="E79" s="3" t="s">
        <v>649</v>
      </c>
      <c r="F79" s="3" t="s">
        <v>650</v>
      </c>
      <c r="G79" s="3" t="s">
        <v>651</v>
      </c>
      <c r="H79" s="3" t="s">
        <v>46</v>
      </c>
      <c r="I79" s="3" t="s">
        <v>28</v>
      </c>
      <c r="J79" s="3" t="s">
        <v>29</v>
      </c>
      <c r="K79" s="3" t="s">
        <v>89</v>
      </c>
      <c r="L79" s="3" t="s">
        <v>48</v>
      </c>
      <c r="M79" s="3" t="s">
        <v>116</v>
      </c>
      <c r="N79" s="3" t="s">
        <v>652</v>
      </c>
      <c r="O79" s="3" t="s">
        <v>278</v>
      </c>
      <c r="P79" s="3" t="s">
        <v>119</v>
      </c>
      <c r="Q79" s="3" t="s">
        <v>653</v>
      </c>
      <c r="R79" s="3" t="s">
        <v>654</v>
      </c>
      <c r="S79" s="3" t="s">
        <v>53</v>
      </c>
      <c r="T79" s="3" t="s">
        <v>186</v>
      </c>
    </row>
    <row r="80" spans="1:20" x14ac:dyDescent="0.3">
      <c r="A80" s="3" t="s">
        <v>655</v>
      </c>
      <c r="B80" s="3" t="s">
        <v>656</v>
      </c>
      <c r="C80" s="3" t="s">
        <v>56</v>
      </c>
      <c r="D80" s="3" t="s">
        <v>72</v>
      </c>
      <c r="E80" s="3" t="s">
        <v>657</v>
      </c>
      <c r="F80" s="3" t="s">
        <v>658</v>
      </c>
      <c r="G80" s="3" t="s">
        <v>659</v>
      </c>
      <c r="H80" s="3" t="s">
        <v>311</v>
      </c>
      <c r="I80" s="3" t="s">
        <v>28</v>
      </c>
      <c r="J80" s="3" t="s">
        <v>29</v>
      </c>
      <c r="K80" s="3" t="s">
        <v>146</v>
      </c>
      <c r="L80" s="3" t="s">
        <v>48</v>
      </c>
      <c r="M80" s="3" t="s">
        <v>63</v>
      </c>
      <c r="N80" s="3" t="s">
        <v>455</v>
      </c>
      <c r="O80" s="3" t="s">
        <v>106</v>
      </c>
      <c r="P80" s="3" t="s">
        <v>107</v>
      </c>
      <c r="Q80" s="3" t="s">
        <v>660</v>
      </c>
      <c r="R80" s="3" t="s">
        <v>661</v>
      </c>
      <c r="S80" s="3" t="s">
        <v>38</v>
      </c>
      <c r="T80" s="3" t="s">
        <v>151</v>
      </c>
    </row>
    <row r="81" spans="1:20" x14ac:dyDescent="0.3">
      <c r="A81" s="3" t="s">
        <v>662</v>
      </c>
      <c r="B81" s="3" t="s">
        <v>495</v>
      </c>
      <c r="C81" s="3" t="s">
        <v>325</v>
      </c>
      <c r="D81" s="3" t="s">
        <v>154</v>
      </c>
      <c r="E81" s="3" t="s">
        <v>663</v>
      </c>
      <c r="F81" s="3" t="s">
        <v>664</v>
      </c>
      <c r="G81" s="3" t="s">
        <v>665</v>
      </c>
      <c r="H81" s="3" t="s">
        <v>158</v>
      </c>
      <c r="I81" s="3" t="s">
        <v>114</v>
      </c>
      <c r="J81" s="3" t="s">
        <v>29</v>
      </c>
      <c r="K81" s="3" t="s">
        <v>89</v>
      </c>
      <c r="L81" s="3" t="s">
        <v>48</v>
      </c>
      <c r="M81" s="3" t="s">
        <v>90</v>
      </c>
      <c r="N81" s="3" t="s">
        <v>386</v>
      </c>
      <c r="O81" s="3" t="s">
        <v>34</v>
      </c>
      <c r="P81" s="3" t="s">
        <v>35</v>
      </c>
      <c r="Q81" s="3" t="s">
        <v>666</v>
      </c>
      <c r="R81" s="3" t="s">
        <v>667</v>
      </c>
      <c r="S81" s="3" t="s">
        <v>53</v>
      </c>
      <c r="T81" s="3" t="s">
        <v>80</v>
      </c>
    </row>
    <row r="82" spans="1:20" x14ac:dyDescent="0.3">
      <c r="A82" s="3" t="s">
        <v>668</v>
      </c>
      <c r="B82" s="3" t="s">
        <v>669</v>
      </c>
      <c r="C82" s="3" t="s">
        <v>283</v>
      </c>
      <c r="D82" s="3" t="s">
        <v>124</v>
      </c>
      <c r="E82" s="3" t="s">
        <v>670</v>
      </c>
      <c r="F82" s="3" t="s">
        <v>671</v>
      </c>
      <c r="G82" s="3" t="s">
        <v>672</v>
      </c>
      <c r="H82" s="3" t="s">
        <v>60</v>
      </c>
      <c r="I82" s="3" t="s">
        <v>102</v>
      </c>
      <c r="J82" s="3" t="s">
        <v>29</v>
      </c>
      <c r="K82" s="3" t="s">
        <v>30</v>
      </c>
      <c r="L82" s="3" t="s">
        <v>48</v>
      </c>
      <c r="M82" s="3" t="s">
        <v>63</v>
      </c>
      <c r="N82" s="3" t="s">
        <v>673</v>
      </c>
      <c r="O82" s="3" t="s">
        <v>106</v>
      </c>
      <c r="P82" s="3" t="s">
        <v>107</v>
      </c>
      <c r="Q82" s="3" t="s">
        <v>674</v>
      </c>
      <c r="R82" s="3" t="s">
        <v>675</v>
      </c>
      <c r="S82" s="3" t="s">
        <v>53</v>
      </c>
      <c r="T82" s="3" t="s">
        <v>39</v>
      </c>
    </row>
    <row r="83" spans="1:20" x14ac:dyDescent="0.3">
      <c r="A83" s="3" t="s">
        <v>676</v>
      </c>
      <c r="B83" s="3" t="s">
        <v>215</v>
      </c>
      <c r="C83" s="3" t="s">
        <v>216</v>
      </c>
      <c r="D83" s="3" t="s">
        <v>189</v>
      </c>
      <c r="E83" s="3" t="s">
        <v>677</v>
      </c>
      <c r="F83" s="3" t="s">
        <v>678</v>
      </c>
      <c r="G83" s="3" t="s">
        <v>679</v>
      </c>
      <c r="H83" s="3" t="s">
        <v>76</v>
      </c>
      <c r="I83" s="3" t="s">
        <v>88</v>
      </c>
      <c r="J83" s="3" t="s">
        <v>29</v>
      </c>
      <c r="K83" s="3" t="s">
        <v>220</v>
      </c>
      <c r="L83" s="3" t="s">
        <v>104</v>
      </c>
      <c r="M83" s="3" t="s">
        <v>116</v>
      </c>
      <c r="N83" s="3" t="s">
        <v>680</v>
      </c>
      <c r="O83" s="3" t="s">
        <v>92</v>
      </c>
      <c r="P83" s="3" t="s">
        <v>35</v>
      </c>
      <c r="Q83" s="3" t="s">
        <v>681</v>
      </c>
      <c r="R83" s="3" t="s">
        <v>682</v>
      </c>
      <c r="S83" s="3" t="s">
        <v>38</v>
      </c>
      <c r="T83" s="3" t="s">
        <v>80</v>
      </c>
    </row>
    <row r="84" spans="1:20" x14ac:dyDescent="0.3">
      <c r="A84" s="3" t="s">
        <v>683</v>
      </c>
      <c r="B84" s="3" t="s">
        <v>91</v>
      </c>
      <c r="C84" s="3" t="s">
        <v>180</v>
      </c>
      <c r="D84" s="3" t="s">
        <v>189</v>
      </c>
      <c r="E84" s="3" t="s">
        <v>684</v>
      </c>
      <c r="F84" s="3" t="s">
        <v>685</v>
      </c>
      <c r="G84" s="3" t="s">
        <v>686</v>
      </c>
      <c r="H84" s="3" t="s">
        <v>88</v>
      </c>
      <c r="I84" s="3" t="s">
        <v>28</v>
      </c>
      <c r="J84" s="3" t="s">
        <v>29</v>
      </c>
      <c r="K84" s="3" t="s">
        <v>146</v>
      </c>
      <c r="L84" s="3" t="s">
        <v>62</v>
      </c>
      <c r="M84" s="3" t="s">
        <v>90</v>
      </c>
      <c r="N84" s="3" t="s">
        <v>687</v>
      </c>
      <c r="O84" s="3" t="s">
        <v>106</v>
      </c>
      <c r="P84" s="3" t="s">
        <v>107</v>
      </c>
      <c r="Q84" s="3" t="s">
        <v>688</v>
      </c>
      <c r="R84" s="3" t="s">
        <v>689</v>
      </c>
      <c r="S84" s="3" t="s">
        <v>38</v>
      </c>
      <c r="T84" s="3" t="s">
        <v>39</v>
      </c>
    </row>
    <row r="85" spans="1:20" x14ac:dyDescent="0.3">
      <c r="A85" s="3" t="s">
        <v>690</v>
      </c>
      <c r="B85" s="3" t="s">
        <v>168</v>
      </c>
      <c r="C85" s="3" t="s">
        <v>180</v>
      </c>
      <c r="D85" s="3" t="s">
        <v>72</v>
      </c>
      <c r="E85" s="3" t="s">
        <v>691</v>
      </c>
      <c r="F85" s="3" t="s">
        <v>692</v>
      </c>
      <c r="G85" s="3" t="s">
        <v>693</v>
      </c>
      <c r="H85" s="3" t="s">
        <v>158</v>
      </c>
      <c r="I85" s="3" t="s">
        <v>47</v>
      </c>
      <c r="J85" s="3" t="s">
        <v>29</v>
      </c>
      <c r="K85" s="3" t="s">
        <v>103</v>
      </c>
      <c r="L85" s="3" t="s">
        <v>104</v>
      </c>
      <c r="M85" s="3" t="s">
        <v>63</v>
      </c>
      <c r="N85" s="3" t="s">
        <v>277</v>
      </c>
      <c r="O85" s="3" t="s">
        <v>148</v>
      </c>
      <c r="P85" s="3" t="s">
        <v>35</v>
      </c>
      <c r="Q85" s="3" t="s">
        <v>694</v>
      </c>
      <c r="R85" s="3" t="s">
        <v>695</v>
      </c>
      <c r="S85" s="3" t="s">
        <v>38</v>
      </c>
      <c r="T85" s="3" t="s">
        <v>248</v>
      </c>
    </row>
    <row r="86" spans="1:20" x14ac:dyDescent="0.3">
      <c r="A86" s="3" t="s">
        <v>696</v>
      </c>
      <c r="B86" s="3" t="s">
        <v>697</v>
      </c>
      <c r="C86" s="3" t="s">
        <v>502</v>
      </c>
      <c r="D86" s="3" t="s">
        <v>154</v>
      </c>
      <c r="E86" s="3" t="s">
        <v>698</v>
      </c>
      <c r="F86" s="3" t="s">
        <v>699</v>
      </c>
      <c r="G86" s="3" t="s">
        <v>700</v>
      </c>
      <c r="H86" s="3" t="s">
        <v>88</v>
      </c>
      <c r="I86" s="3" t="s">
        <v>114</v>
      </c>
      <c r="J86" s="3" t="s">
        <v>29</v>
      </c>
      <c r="K86" s="3" t="s">
        <v>220</v>
      </c>
      <c r="L86" s="3" t="s">
        <v>62</v>
      </c>
      <c r="M86" s="3" t="s">
        <v>90</v>
      </c>
      <c r="N86" s="3" t="s">
        <v>701</v>
      </c>
      <c r="O86" s="3" t="s">
        <v>118</v>
      </c>
      <c r="P86" s="3" t="s">
        <v>119</v>
      </c>
      <c r="Q86" s="3" t="s">
        <v>702</v>
      </c>
      <c r="R86" s="3" t="s">
        <v>703</v>
      </c>
      <c r="S86" s="3" t="s">
        <v>53</v>
      </c>
      <c r="T86" s="3" t="s">
        <v>248</v>
      </c>
    </row>
    <row r="87" spans="1:20" x14ac:dyDescent="0.3">
      <c r="A87" s="3" t="s">
        <v>704</v>
      </c>
      <c r="B87" s="3" t="s">
        <v>194</v>
      </c>
      <c r="C87" s="3" t="s">
        <v>134</v>
      </c>
      <c r="D87" s="3" t="s">
        <v>124</v>
      </c>
      <c r="E87" s="3" t="s">
        <v>705</v>
      </c>
      <c r="F87" s="3" t="s">
        <v>706</v>
      </c>
      <c r="G87" s="3" t="s">
        <v>707</v>
      </c>
      <c r="H87" s="3" t="s">
        <v>193</v>
      </c>
      <c r="I87" s="3" t="s">
        <v>114</v>
      </c>
      <c r="J87" s="3" t="s">
        <v>29</v>
      </c>
      <c r="K87" s="3" t="s">
        <v>220</v>
      </c>
      <c r="L87" s="3" t="s">
        <v>62</v>
      </c>
      <c r="M87" s="3" t="s">
        <v>63</v>
      </c>
      <c r="N87" s="3" t="s">
        <v>463</v>
      </c>
      <c r="O87" s="3" t="s">
        <v>50</v>
      </c>
      <c r="P87" s="3" t="s">
        <v>35</v>
      </c>
      <c r="Q87" s="3" t="s">
        <v>708</v>
      </c>
      <c r="R87" s="3" t="s">
        <v>709</v>
      </c>
      <c r="S87" s="3" t="s">
        <v>38</v>
      </c>
      <c r="T87" s="3" t="s">
        <v>186</v>
      </c>
    </row>
    <row r="88" spans="1:20" x14ac:dyDescent="0.3">
      <c r="A88" s="3" t="s">
        <v>710</v>
      </c>
      <c r="B88" s="3" t="s">
        <v>303</v>
      </c>
      <c r="C88" s="3" t="s">
        <v>341</v>
      </c>
      <c r="D88" s="3" t="s">
        <v>241</v>
      </c>
      <c r="E88" s="3" t="s">
        <v>711</v>
      </c>
      <c r="F88" s="3" t="s">
        <v>712</v>
      </c>
      <c r="G88" s="3" t="s">
        <v>713</v>
      </c>
      <c r="H88" s="3" t="s">
        <v>27</v>
      </c>
      <c r="I88" s="3" t="s">
        <v>88</v>
      </c>
      <c r="J88" s="3" t="s">
        <v>29</v>
      </c>
      <c r="K88" s="3" t="s">
        <v>30</v>
      </c>
      <c r="L88" s="3" t="s">
        <v>115</v>
      </c>
      <c r="M88" s="3" t="s">
        <v>32</v>
      </c>
      <c r="N88" s="3" t="s">
        <v>41</v>
      </c>
      <c r="O88" s="3" t="s">
        <v>92</v>
      </c>
      <c r="P88" s="3" t="s">
        <v>35</v>
      </c>
      <c r="Q88" s="3" t="s">
        <v>714</v>
      </c>
      <c r="R88" s="3" t="s">
        <v>715</v>
      </c>
      <c r="S88" s="3" t="s">
        <v>38</v>
      </c>
      <c r="T88" s="3" t="s">
        <v>80</v>
      </c>
    </row>
    <row r="89" spans="1:20" x14ac:dyDescent="0.3">
      <c r="A89" s="3" t="s">
        <v>716</v>
      </c>
      <c r="B89" s="3" t="s">
        <v>168</v>
      </c>
      <c r="C89" s="3" t="s">
        <v>180</v>
      </c>
      <c r="D89" s="3" t="s">
        <v>72</v>
      </c>
      <c r="E89" s="3" t="s">
        <v>717</v>
      </c>
      <c r="F89" s="3" t="s">
        <v>718</v>
      </c>
      <c r="G89" s="3" t="s">
        <v>719</v>
      </c>
      <c r="H89" s="3" t="s">
        <v>76</v>
      </c>
      <c r="I89" s="3" t="s">
        <v>47</v>
      </c>
      <c r="J89" s="3" t="s">
        <v>29</v>
      </c>
      <c r="K89" s="3" t="s">
        <v>103</v>
      </c>
      <c r="L89" s="3" t="s">
        <v>115</v>
      </c>
      <c r="M89" s="3" t="s">
        <v>116</v>
      </c>
      <c r="N89" s="3" t="s">
        <v>602</v>
      </c>
      <c r="O89" s="3" t="s">
        <v>118</v>
      </c>
      <c r="P89" s="3" t="s">
        <v>119</v>
      </c>
      <c r="Q89" s="3" t="s">
        <v>720</v>
      </c>
      <c r="R89" s="3" t="s">
        <v>721</v>
      </c>
      <c r="S89" s="3" t="s">
        <v>53</v>
      </c>
      <c r="T89" s="3" t="s">
        <v>151</v>
      </c>
    </row>
    <row r="90" spans="1:20" x14ac:dyDescent="0.3">
      <c r="A90" s="3" t="s">
        <v>722</v>
      </c>
      <c r="B90" s="3" t="s">
        <v>360</v>
      </c>
      <c r="C90" s="3" t="s">
        <v>341</v>
      </c>
      <c r="D90" s="3" t="s">
        <v>72</v>
      </c>
      <c r="E90" s="3" t="s">
        <v>723</v>
      </c>
      <c r="F90" s="3" t="s">
        <v>724</v>
      </c>
      <c r="G90" s="3" t="s">
        <v>725</v>
      </c>
      <c r="H90" s="3" t="s">
        <v>88</v>
      </c>
      <c r="I90" s="3" t="s">
        <v>114</v>
      </c>
      <c r="J90" s="3" t="s">
        <v>29</v>
      </c>
      <c r="K90" s="3" t="s">
        <v>146</v>
      </c>
      <c r="L90" s="3" t="s">
        <v>115</v>
      </c>
      <c r="M90" s="3" t="s">
        <v>32</v>
      </c>
      <c r="N90" s="3" t="s">
        <v>726</v>
      </c>
      <c r="O90" s="3" t="s">
        <v>278</v>
      </c>
      <c r="P90" s="3" t="s">
        <v>119</v>
      </c>
      <c r="Q90" s="3" t="s">
        <v>727</v>
      </c>
      <c r="R90" s="3" t="s">
        <v>728</v>
      </c>
      <c r="S90" s="3" t="s">
        <v>53</v>
      </c>
      <c r="T90" s="3" t="s">
        <v>151</v>
      </c>
    </row>
    <row r="91" spans="1:20" x14ac:dyDescent="0.3">
      <c r="A91" s="3" t="s">
        <v>729</v>
      </c>
      <c r="B91" s="3" t="s">
        <v>537</v>
      </c>
      <c r="C91" s="3" t="s">
        <v>42</v>
      </c>
      <c r="D91" s="3" t="s">
        <v>135</v>
      </c>
      <c r="E91" s="3" t="s">
        <v>730</v>
      </c>
      <c r="F91" s="3" t="s">
        <v>731</v>
      </c>
      <c r="G91" s="3" t="s">
        <v>732</v>
      </c>
      <c r="H91" s="3" t="s">
        <v>193</v>
      </c>
      <c r="I91" s="3" t="s">
        <v>47</v>
      </c>
      <c r="J91" s="3" t="s">
        <v>29</v>
      </c>
      <c r="K91" s="3" t="s">
        <v>220</v>
      </c>
      <c r="L91" s="3" t="s">
        <v>31</v>
      </c>
      <c r="M91" s="3" t="s">
        <v>116</v>
      </c>
      <c r="N91" s="3" t="s">
        <v>55</v>
      </c>
      <c r="O91" s="3" t="s">
        <v>118</v>
      </c>
      <c r="P91" s="3" t="s">
        <v>119</v>
      </c>
      <c r="Q91" s="3" t="s">
        <v>733</v>
      </c>
      <c r="R91" s="3" t="s">
        <v>734</v>
      </c>
      <c r="S91" s="3" t="s">
        <v>38</v>
      </c>
      <c r="T91" s="3" t="s">
        <v>186</v>
      </c>
    </row>
    <row r="92" spans="1:20" x14ac:dyDescent="0.3">
      <c r="A92" s="3" t="s">
        <v>735</v>
      </c>
      <c r="B92" s="3" t="s">
        <v>273</v>
      </c>
      <c r="C92" s="3" t="s">
        <v>56</v>
      </c>
      <c r="D92" s="3" t="s">
        <v>189</v>
      </c>
      <c r="E92" s="3" t="s">
        <v>736</v>
      </c>
      <c r="F92" s="3" t="s">
        <v>737</v>
      </c>
      <c r="G92" s="3" t="s">
        <v>738</v>
      </c>
      <c r="H92" s="3" t="s">
        <v>46</v>
      </c>
      <c r="I92" s="3" t="s">
        <v>245</v>
      </c>
      <c r="J92" s="3" t="s">
        <v>29</v>
      </c>
      <c r="K92" s="3" t="s">
        <v>61</v>
      </c>
      <c r="L92" s="3" t="s">
        <v>31</v>
      </c>
      <c r="M92" s="3" t="s">
        <v>116</v>
      </c>
      <c r="N92" s="3" t="s">
        <v>129</v>
      </c>
      <c r="O92" s="3" t="s">
        <v>65</v>
      </c>
      <c r="P92" s="3" t="s">
        <v>35</v>
      </c>
      <c r="Q92" s="3" t="s">
        <v>739</v>
      </c>
      <c r="R92" s="3" t="s">
        <v>740</v>
      </c>
      <c r="S92" s="3" t="s">
        <v>53</v>
      </c>
      <c r="T92" s="3" t="s">
        <v>151</v>
      </c>
    </row>
    <row r="93" spans="1:20" x14ac:dyDescent="0.3">
      <c r="A93" s="3" t="s">
        <v>741</v>
      </c>
      <c r="B93" s="3" t="s">
        <v>742</v>
      </c>
      <c r="C93" s="3" t="s">
        <v>71</v>
      </c>
      <c r="D93" s="3" t="s">
        <v>241</v>
      </c>
      <c r="E93" s="3" t="s">
        <v>743</v>
      </c>
      <c r="F93" s="3" t="s">
        <v>744</v>
      </c>
      <c r="G93" s="3" t="s">
        <v>745</v>
      </c>
      <c r="H93" s="3" t="s">
        <v>27</v>
      </c>
      <c r="I93" s="3" t="s">
        <v>88</v>
      </c>
      <c r="J93" s="3" t="s">
        <v>29</v>
      </c>
      <c r="K93" s="3" t="s">
        <v>146</v>
      </c>
      <c r="L93" s="3" t="s">
        <v>62</v>
      </c>
      <c r="M93" s="3" t="s">
        <v>32</v>
      </c>
      <c r="N93" s="3" t="s">
        <v>21</v>
      </c>
      <c r="O93" s="3" t="s">
        <v>106</v>
      </c>
      <c r="P93" s="3" t="s">
        <v>107</v>
      </c>
      <c r="Q93" s="3" t="s">
        <v>746</v>
      </c>
      <c r="R93" s="3" t="s">
        <v>747</v>
      </c>
      <c r="S93" s="3" t="s">
        <v>38</v>
      </c>
      <c r="T93" s="3" t="s">
        <v>186</v>
      </c>
    </row>
    <row r="94" spans="1:20" x14ac:dyDescent="0.3">
      <c r="A94" s="3" t="s">
        <v>748</v>
      </c>
      <c r="B94" s="3" t="s">
        <v>749</v>
      </c>
      <c r="C94" s="3" t="s">
        <v>56</v>
      </c>
      <c r="D94" s="3" t="s">
        <v>241</v>
      </c>
      <c r="E94" s="3" t="s">
        <v>750</v>
      </c>
      <c r="F94" s="3" t="s">
        <v>751</v>
      </c>
      <c r="G94" s="3" t="s">
        <v>752</v>
      </c>
      <c r="H94" s="3" t="s">
        <v>46</v>
      </c>
      <c r="I94" s="3" t="s">
        <v>128</v>
      </c>
      <c r="J94" s="3" t="s">
        <v>29</v>
      </c>
      <c r="K94" s="3" t="s">
        <v>220</v>
      </c>
      <c r="L94" s="3" t="s">
        <v>115</v>
      </c>
      <c r="M94" s="3" t="s">
        <v>32</v>
      </c>
      <c r="N94" s="3" t="s">
        <v>123</v>
      </c>
      <c r="O94" s="3" t="s">
        <v>34</v>
      </c>
      <c r="P94" s="3" t="s">
        <v>35</v>
      </c>
      <c r="Q94" s="3" t="s">
        <v>753</v>
      </c>
      <c r="R94" s="3" t="s">
        <v>754</v>
      </c>
      <c r="S94" s="3" t="s">
        <v>38</v>
      </c>
      <c r="T94" s="3" t="s">
        <v>186</v>
      </c>
    </row>
    <row r="95" spans="1:20" x14ac:dyDescent="0.3">
      <c r="A95" s="3" t="s">
        <v>755</v>
      </c>
      <c r="B95" s="3" t="s">
        <v>602</v>
      </c>
      <c r="C95" s="3" t="s">
        <v>83</v>
      </c>
      <c r="D95" s="3" t="s">
        <v>124</v>
      </c>
      <c r="E95" s="3" t="s">
        <v>756</v>
      </c>
      <c r="F95" s="3" t="s">
        <v>757</v>
      </c>
      <c r="G95" s="3" t="s">
        <v>758</v>
      </c>
      <c r="H95" s="3" t="s">
        <v>311</v>
      </c>
      <c r="I95" s="3" t="s">
        <v>102</v>
      </c>
      <c r="J95" s="3" t="s">
        <v>29</v>
      </c>
      <c r="K95" s="3" t="s">
        <v>103</v>
      </c>
      <c r="L95" s="3" t="s">
        <v>48</v>
      </c>
      <c r="M95" s="3" t="s">
        <v>63</v>
      </c>
      <c r="N95" s="3" t="s">
        <v>759</v>
      </c>
      <c r="O95" s="3" t="s">
        <v>65</v>
      </c>
      <c r="P95" s="3" t="s">
        <v>35</v>
      </c>
      <c r="Q95" s="3" t="s">
        <v>760</v>
      </c>
      <c r="R95" s="3" t="s">
        <v>761</v>
      </c>
      <c r="S95" s="3" t="s">
        <v>53</v>
      </c>
      <c r="T95" s="3" t="s">
        <v>80</v>
      </c>
    </row>
    <row r="96" spans="1:20" x14ac:dyDescent="0.3">
      <c r="A96" s="3" t="s">
        <v>762</v>
      </c>
      <c r="B96" s="3" t="s">
        <v>554</v>
      </c>
      <c r="C96" s="3" t="s">
        <v>199</v>
      </c>
      <c r="D96" s="3" t="s">
        <v>154</v>
      </c>
      <c r="E96" s="3" t="s">
        <v>763</v>
      </c>
      <c r="F96" s="3" t="s">
        <v>764</v>
      </c>
      <c r="G96" s="3" t="s">
        <v>765</v>
      </c>
      <c r="H96" s="3" t="s">
        <v>88</v>
      </c>
      <c r="I96" s="3" t="s">
        <v>245</v>
      </c>
      <c r="J96" s="3" t="s">
        <v>29</v>
      </c>
      <c r="K96" s="3" t="s">
        <v>30</v>
      </c>
      <c r="L96" s="3" t="s">
        <v>31</v>
      </c>
      <c r="M96" s="3" t="s">
        <v>90</v>
      </c>
      <c r="N96" s="3" t="s">
        <v>303</v>
      </c>
      <c r="O96" s="3" t="s">
        <v>148</v>
      </c>
      <c r="P96" s="3" t="s">
        <v>35</v>
      </c>
      <c r="Q96" s="3" t="s">
        <v>766</v>
      </c>
      <c r="R96" s="3" t="s">
        <v>767</v>
      </c>
      <c r="S96" s="3" t="s">
        <v>38</v>
      </c>
      <c r="T96" s="3" t="s">
        <v>39</v>
      </c>
    </row>
    <row r="97" spans="1:20" x14ac:dyDescent="0.3">
      <c r="A97" s="3" t="s">
        <v>768</v>
      </c>
      <c r="B97" s="3" t="s">
        <v>33</v>
      </c>
      <c r="C97" s="3" t="s">
        <v>56</v>
      </c>
      <c r="D97" s="3" t="s">
        <v>84</v>
      </c>
      <c r="E97" s="3" t="s">
        <v>769</v>
      </c>
      <c r="F97" s="3" t="s">
        <v>770</v>
      </c>
      <c r="G97" s="3" t="s">
        <v>771</v>
      </c>
      <c r="H97" s="3" t="s">
        <v>46</v>
      </c>
      <c r="I97" s="3" t="s">
        <v>245</v>
      </c>
      <c r="J97" s="3" t="s">
        <v>29</v>
      </c>
      <c r="K97" s="3" t="s">
        <v>146</v>
      </c>
      <c r="L97" s="3" t="s">
        <v>115</v>
      </c>
      <c r="M97" s="3" t="s">
        <v>32</v>
      </c>
      <c r="N97" s="3" t="s">
        <v>567</v>
      </c>
      <c r="O97" s="3" t="s">
        <v>50</v>
      </c>
      <c r="P97" s="3" t="s">
        <v>35</v>
      </c>
      <c r="Q97" s="3" t="s">
        <v>772</v>
      </c>
      <c r="R97" s="3" t="s">
        <v>773</v>
      </c>
      <c r="S97" s="3" t="s">
        <v>53</v>
      </c>
      <c r="T97" s="3" t="s">
        <v>68</v>
      </c>
    </row>
    <row r="98" spans="1:20" x14ac:dyDescent="0.3">
      <c r="A98" s="3" t="s">
        <v>774</v>
      </c>
      <c r="B98" s="3" t="s">
        <v>606</v>
      </c>
      <c r="C98" s="3" t="s">
        <v>56</v>
      </c>
      <c r="D98" s="3" t="s">
        <v>124</v>
      </c>
      <c r="E98" s="3" t="s">
        <v>775</v>
      </c>
      <c r="F98" s="3" t="s">
        <v>776</v>
      </c>
      <c r="G98" s="3" t="s">
        <v>777</v>
      </c>
      <c r="H98" s="3" t="s">
        <v>76</v>
      </c>
      <c r="I98" s="3" t="s">
        <v>47</v>
      </c>
      <c r="J98" s="3" t="s">
        <v>29</v>
      </c>
      <c r="K98" s="3" t="s">
        <v>89</v>
      </c>
      <c r="L98" s="3" t="s">
        <v>48</v>
      </c>
      <c r="M98" s="3" t="s">
        <v>90</v>
      </c>
      <c r="N98" s="3" t="s">
        <v>778</v>
      </c>
      <c r="O98" s="3" t="s">
        <v>278</v>
      </c>
      <c r="P98" s="3" t="s">
        <v>119</v>
      </c>
      <c r="Q98" s="3" t="s">
        <v>779</v>
      </c>
      <c r="R98" s="3" t="s">
        <v>780</v>
      </c>
      <c r="S98" s="3" t="s">
        <v>53</v>
      </c>
      <c r="T98" s="3" t="s">
        <v>68</v>
      </c>
    </row>
    <row r="99" spans="1:20" x14ac:dyDescent="0.3">
      <c r="A99" s="3" t="s">
        <v>781</v>
      </c>
      <c r="B99" s="3" t="s">
        <v>782</v>
      </c>
      <c r="C99" s="3" t="s">
        <v>42</v>
      </c>
      <c r="D99" s="3" t="s">
        <v>98</v>
      </c>
      <c r="E99" s="3" t="s">
        <v>783</v>
      </c>
      <c r="F99" s="3" t="s">
        <v>784</v>
      </c>
      <c r="G99" s="3" t="s">
        <v>785</v>
      </c>
      <c r="H99" s="3" t="s">
        <v>60</v>
      </c>
      <c r="I99" s="3" t="s">
        <v>102</v>
      </c>
      <c r="J99" s="3" t="s">
        <v>29</v>
      </c>
      <c r="K99" s="3" t="s">
        <v>103</v>
      </c>
      <c r="L99" s="3" t="s">
        <v>104</v>
      </c>
      <c r="M99" s="3" t="s">
        <v>32</v>
      </c>
      <c r="N99" s="3" t="s">
        <v>602</v>
      </c>
      <c r="O99" s="3" t="s">
        <v>65</v>
      </c>
      <c r="P99" s="3" t="s">
        <v>35</v>
      </c>
      <c r="Q99" s="3" t="s">
        <v>786</v>
      </c>
      <c r="R99" s="3" t="s">
        <v>787</v>
      </c>
      <c r="S99" s="3" t="s">
        <v>38</v>
      </c>
      <c r="T99" s="3" t="s">
        <v>39</v>
      </c>
    </row>
    <row r="100" spans="1:20" x14ac:dyDescent="0.3">
      <c r="A100" s="3" t="s">
        <v>788</v>
      </c>
      <c r="B100" s="3" t="s">
        <v>789</v>
      </c>
      <c r="C100" s="3" t="s">
        <v>42</v>
      </c>
      <c r="D100" s="3" t="s">
        <v>84</v>
      </c>
      <c r="E100" s="3" t="s">
        <v>790</v>
      </c>
      <c r="F100" s="3" t="s">
        <v>791</v>
      </c>
      <c r="G100" s="3" t="s">
        <v>792</v>
      </c>
      <c r="H100" s="3" t="s">
        <v>158</v>
      </c>
      <c r="I100" s="3" t="s">
        <v>47</v>
      </c>
      <c r="J100" s="3" t="s">
        <v>29</v>
      </c>
      <c r="K100" s="3" t="s">
        <v>103</v>
      </c>
      <c r="L100" s="3" t="s">
        <v>31</v>
      </c>
      <c r="M100" s="3" t="s">
        <v>90</v>
      </c>
      <c r="N100" s="3" t="s">
        <v>375</v>
      </c>
      <c r="O100" s="3" t="s">
        <v>278</v>
      </c>
      <c r="P100" s="3" t="s">
        <v>119</v>
      </c>
      <c r="Q100" s="3" t="s">
        <v>793</v>
      </c>
      <c r="R100" s="3" t="s">
        <v>794</v>
      </c>
      <c r="S100" s="3" t="s">
        <v>53</v>
      </c>
      <c r="T100" s="3" t="s">
        <v>80</v>
      </c>
    </row>
    <row r="101" spans="1:20" x14ac:dyDescent="0.3">
      <c r="A101" s="3" t="s">
        <v>795</v>
      </c>
      <c r="B101" s="3" t="s">
        <v>364</v>
      </c>
      <c r="C101" s="3" t="s">
        <v>42</v>
      </c>
      <c r="D101" s="3" t="s">
        <v>241</v>
      </c>
      <c r="E101" s="3" t="s">
        <v>796</v>
      </c>
      <c r="F101" s="3" t="s">
        <v>797</v>
      </c>
      <c r="G101" s="3" t="s">
        <v>798</v>
      </c>
      <c r="H101" s="3" t="s">
        <v>27</v>
      </c>
      <c r="I101" s="3" t="s">
        <v>88</v>
      </c>
      <c r="J101" s="3" t="s">
        <v>29</v>
      </c>
      <c r="K101" s="3" t="s">
        <v>146</v>
      </c>
      <c r="L101" s="3" t="s">
        <v>104</v>
      </c>
      <c r="M101" s="3" t="s">
        <v>90</v>
      </c>
      <c r="N101" s="3" t="s">
        <v>282</v>
      </c>
      <c r="O101" s="3" t="s">
        <v>92</v>
      </c>
      <c r="P101" s="3" t="s">
        <v>35</v>
      </c>
      <c r="Q101" s="3" t="s">
        <v>799</v>
      </c>
      <c r="R101" s="3" t="s">
        <v>800</v>
      </c>
      <c r="S101" s="3" t="s">
        <v>53</v>
      </c>
      <c r="T101" s="3" t="s">
        <v>39</v>
      </c>
    </row>
    <row r="102" spans="1:20" x14ac:dyDescent="0.3">
      <c r="A102" s="3" t="s">
        <v>801</v>
      </c>
      <c r="B102" s="3" t="s">
        <v>802</v>
      </c>
      <c r="C102" s="3" t="s">
        <v>502</v>
      </c>
      <c r="D102" s="3" t="s">
        <v>135</v>
      </c>
      <c r="E102" s="3" t="s">
        <v>803</v>
      </c>
      <c r="F102" s="3" t="s">
        <v>804</v>
      </c>
      <c r="G102" s="3" t="s">
        <v>805</v>
      </c>
      <c r="H102" s="3" t="s">
        <v>27</v>
      </c>
      <c r="I102" s="3" t="s">
        <v>114</v>
      </c>
      <c r="J102" s="3" t="s">
        <v>29</v>
      </c>
      <c r="K102" s="3" t="s">
        <v>89</v>
      </c>
      <c r="L102" s="3" t="s">
        <v>48</v>
      </c>
      <c r="M102" s="3" t="s">
        <v>32</v>
      </c>
      <c r="N102" s="3" t="s">
        <v>806</v>
      </c>
      <c r="O102" s="3" t="s">
        <v>34</v>
      </c>
      <c r="P102" s="3" t="s">
        <v>35</v>
      </c>
      <c r="Q102" s="3" t="s">
        <v>807</v>
      </c>
      <c r="R102" s="3" t="s">
        <v>808</v>
      </c>
      <c r="S102" s="3" t="s">
        <v>53</v>
      </c>
      <c r="T102" s="3" t="s">
        <v>68</v>
      </c>
    </row>
    <row r="103" spans="1:20" x14ac:dyDescent="0.3">
      <c r="A103" s="3" t="s">
        <v>809</v>
      </c>
      <c r="B103" s="3" t="s">
        <v>742</v>
      </c>
      <c r="C103" s="3" t="s">
        <v>71</v>
      </c>
      <c r="D103" s="3" t="s">
        <v>241</v>
      </c>
      <c r="E103" s="3" t="s">
        <v>810</v>
      </c>
      <c r="F103" s="3" t="s">
        <v>811</v>
      </c>
      <c r="G103" s="3" t="s">
        <v>812</v>
      </c>
      <c r="H103" s="3" t="s">
        <v>76</v>
      </c>
      <c r="I103" s="3" t="s">
        <v>128</v>
      </c>
      <c r="J103" s="3" t="s">
        <v>29</v>
      </c>
      <c r="K103" s="3" t="s">
        <v>146</v>
      </c>
      <c r="L103" s="3" t="s">
        <v>104</v>
      </c>
      <c r="M103" s="3" t="s">
        <v>63</v>
      </c>
      <c r="N103" s="3" t="s">
        <v>813</v>
      </c>
      <c r="O103" s="3" t="s">
        <v>50</v>
      </c>
      <c r="P103" s="3" t="s">
        <v>35</v>
      </c>
      <c r="Q103" s="3" t="s">
        <v>814</v>
      </c>
      <c r="R103" s="3" t="s">
        <v>815</v>
      </c>
      <c r="S103" s="3" t="s">
        <v>53</v>
      </c>
      <c r="T103" s="3" t="s">
        <v>186</v>
      </c>
    </row>
    <row r="104" spans="1:20" x14ac:dyDescent="0.3">
      <c r="A104" s="3" t="s">
        <v>816</v>
      </c>
      <c r="B104" s="3" t="s">
        <v>817</v>
      </c>
      <c r="C104" s="3" t="s">
        <v>502</v>
      </c>
      <c r="D104" s="3" t="s">
        <v>23</v>
      </c>
      <c r="E104" s="3" t="s">
        <v>818</v>
      </c>
      <c r="F104" s="3" t="s">
        <v>819</v>
      </c>
      <c r="G104" s="3" t="s">
        <v>820</v>
      </c>
      <c r="H104" s="3" t="s">
        <v>46</v>
      </c>
      <c r="I104" s="3" t="s">
        <v>128</v>
      </c>
      <c r="J104" s="3" t="s">
        <v>29</v>
      </c>
      <c r="K104" s="3" t="s">
        <v>89</v>
      </c>
      <c r="L104" s="3" t="s">
        <v>31</v>
      </c>
      <c r="M104" s="3" t="s">
        <v>116</v>
      </c>
      <c r="N104" s="3" t="s">
        <v>55</v>
      </c>
      <c r="O104" s="3" t="s">
        <v>50</v>
      </c>
      <c r="P104" s="3" t="s">
        <v>35</v>
      </c>
      <c r="Q104" s="3" t="s">
        <v>821</v>
      </c>
      <c r="R104" s="3" t="s">
        <v>822</v>
      </c>
      <c r="S104" s="3" t="s">
        <v>53</v>
      </c>
      <c r="T104" s="3" t="s">
        <v>68</v>
      </c>
    </row>
    <row r="105" spans="1:20" x14ac:dyDescent="0.3">
      <c r="A105" s="3" t="s">
        <v>823</v>
      </c>
      <c r="B105" s="3" t="s">
        <v>282</v>
      </c>
      <c r="C105" s="3" t="s">
        <v>283</v>
      </c>
      <c r="D105" s="3" t="s">
        <v>164</v>
      </c>
      <c r="E105" s="3" t="s">
        <v>824</v>
      </c>
      <c r="F105" s="3" t="s">
        <v>825</v>
      </c>
      <c r="G105" s="3" t="s">
        <v>826</v>
      </c>
      <c r="H105" s="3" t="s">
        <v>60</v>
      </c>
      <c r="I105" s="3" t="s">
        <v>128</v>
      </c>
      <c r="J105" s="3" t="s">
        <v>29</v>
      </c>
      <c r="K105" s="3" t="s">
        <v>61</v>
      </c>
      <c r="L105" s="3" t="s">
        <v>62</v>
      </c>
      <c r="M105" s="3" t="s">
        <v>116</v>
      </c>
      <c r="N105" s="3" t="s">
        <v>123</v>
      </c>
      <c r="O105" s="3" t="s">
        <v>118</v>
      </c>
      <c r="P105" s="3" t="s">
        <v>119</v>
      </c>
      <c r="Q105" s="3" t="s">
        <v>827</v>
      </c>
      <c r="R105" s="3" t="s">
        <v>828</v>
      </c>
      <c r="S105" s="3" t="s">
        <v>38</v>
      </c>
      <c r="T105" s="3" t="s">
        <v>39</v>
      </c>
    </row>
    <row r="106" spans="1:20" x14ac:dyDescent="0.3">
      <c r="A106" s="3" t="s">
        <v>829</v>
      </c>
      <c r="B106" s="3" t="s">
        <v>742</v>
      </c>
      <c r="C106" s="3" t="s">
        <v>71</v>
      </c>
      <c r="D106" s="3" t="s">
        <v>241</v>
      </c>
      <c r="E106" s="3" t="s">
        <v>830</v>
      </c>
      <c r="F106" s="3" t="s">
        <v>831</v>
      </c>
      <c r="G106" s="3" t="s">
        <v>832</v>
      </c>
      <c r="H106" s="3" t="s">
        <v>60</v>
      </c>
      <c r="I106" s="3" t="s">
        <v>128</v>
      </c>
      <c r="J106" s="3" t="s">
        <v>29</v>
      </c>
      <c r="K106" s="3" t="s">
        <v>103</v>
      </c>
      <c r="L106" s="3" t="s">
        <v>31</v>
      </c>
      <c r="M106" s="3" t="s">
        <v>32</v>
      </c>
      <c r="N106" s="3" t="s">
        <v>833</v>
      </c>
      <c r="O106" s="3" t="s">
        <v>34</v>
      </c>
      <c r="P106" s="3" t="s">
        <v>35</v>
      </c>
      <c r="Q106" s="3" t="s">
        <v>834</v>
      </c>
      <c r="R106" s="3" t="s">
        <v>835</v>
      </c>
      <c r="S106" s="3" t="s">
        <v>38</v>
      </c>
      <c r="T106" s="3" t="s">
        <v>151</v>
      </c>
    </row>
    <row r="107" spans="1:20" x14ac:dyDescent="0.3">
      <c r="A107" s="3" t="s">
        <v>836</v>
      </c>
      <c r="B107" s="3" t="s">
        <v>837</v>
      </c>
      <c r="C107" s="3" t="s">
        <v>350</v>
      </c>
      <c r="D107" s="3" t="s">
        <v>241</v>
      </c>
      <c r="E107" s="3" t="s">
        <v>838</v>
      </c>
      <c r="F107" s="3" t="s">
        <v>839</v>
      </c>
      <c r="G107" s="3" t="s">
        <v>840</v>
      </c>
      <c r="H107" s="3" t="s">
        <v>60</v>
      </c>
      <c r="I107" s="3" t="s">
        <v>114</v>
      </c>
      <c r="J107" s="3" t="s">
        <v>29</v>
      </c>
      <c r="K107" s="3" t="s">
        <v>103</v>
      </c>
      <c r="L107" s="3" t="s">
        <v>115</v>
      </c>
      <c r="M107" s="3" t="s">
        <v>63</v>
      </c>
      <c r="N107" s="3" t="s">
        <v>312</v>
      </c>
      <c r="O107" s="3" t="s">
        <v>278</v>
      </c>
      <c r="P107" s="3" t="s">
        <v>119</v>
      </c>
      <c r="Q107" s="3" t="s">
        <v>841</v>
      </c>
      <c r="R107" s="3" t="s">
        <v>842</v>
      </c>
      <c r="S107" s="3" t="s">
        <v>53</v>
      </c>
      <c r="T107" s="3" t="s">
        <v>80</v>
      </c>
    </row>
    <row r="108" spans="1:20" x14ac:dyDescent="0.3">
      <c r="A108" s="3" t="s">
        <v>843</v>
      </c>
      <c r="B108" s="3" t="s">
        <v>844</v>
      </c>
      <c r="C108" s="3" t="s">
        <v>258</v>
      </c>
      <c r="D108" s="3" t="s">
        <v>124</v>
      </c>
      <c r="E108" s="3" t="s">
        <v>845</v>
      </c>
      <c r="F108" s="3" t="s">
        <v>846</v>
      </c>
      <c r="G108" s="3" t="s">
        <v>847</v>
      </c>
      <c r="H108" s="3" t="s">
        <v>158</v>
      </c>
      <c r="I108" s="3" t="s">
        <v>47</v>
      </c>
      <c r="J108" s="3" t="s">
        <v>29</v>
      </c>
      <c r="K108" s="3" t="s">
        <v>103</v>
      </c>
      <c r="L108" s="3" t="s">
        <v>48</v>
      </c>
      <c r="M108" s="3" t="s">
        <v>32</v>
      </c>
      <c r="N108" s="3" t="s">
        <v>759</v>
      </c>
      <c r="O108" s="3" t="s">
        <v>50</v>
      </c>
      <c r="P108" s="3" t="s">
        <v>35</v>
      </c>
      <c r="Q108" s="3" t="s">
        <v>848</v>
      </c>
      <c r="R108" s="3" t="s">
        <v>849</v>
      </c>
      <c r="S108" s="3" t="s">
        <v>53</v>
      </c>
      <c r="T108" s="3" t="s">
        <v>80</v>
      </c>
    </row>
    <row r="109" spans="1:20" x14ac:dyDescent="0.3">
      <c r="A109" s="3" t="s">
        <v>850</v>
      </c>
      <c r="B109" s="3" t="s">
        <v>21</v>
      </c>
      <c r="C109" s="3" t="s">
        <v>22</v>
      </c>
      <c r="D109" s="3" t="s">
        <v>23</v>
      </c>
      <c r="E109" s="3" t="s">
        <v>851</v>
      </c>
      <c r="F109" s="3" t="s">
        <v>852</v>
      </c>
      <c r="G109" s="3" t="s">
        <v>853</v>
      </c>
      <c r="H109" s="3" t="s">
        <v>88</v>
      </c>
      <c r="I109" s="3" t="s">
        <v>128</v>
      </c>
      <c r="J109" s="3" t="s">
        <v>29</v>
      </c>
      <c r="K109" s="3" t="s">
        <v>146</v>
      </c>
      <c r="L109" s="3" t="s">
        <v>104</v>
      </c>
      <c r="M109" s="3" t="s">
        <v>63</v>
      </c>
      <c r="N109" s="3" t="s">
        <v>854</v>
      </c>
      <c r="O109" s="3" t="s">
        <v>34</v>
      </c>
      <c r="P109" s="3" t="s">
        <v>35</v>
      </c>
      <c r="Q109" s="3" t="s">
        <v>855</v>
      </c>
      <c r="R109" s="3" t="s">
        <v>856</v>
      </c>
      <c r="S109" s="3" t="s">
        <v>38</v>
      </c>
      <c r="T109" s="3" t="s">
        <v>80</v>
      </c>
    </row>
    <row r="110" spans="1:20" x14ac:dyDescent="0.3">
      <c r="A110" s="3" t="s">
        <v>857</v>
      </c>
      <c r="B110" s="3" t="s">
        <v>105</v>
      </c>
      <c r="C110" s="3" t="s">
        <v>134</v>
      </c>
      <c r="D110" s="3" t="s">
        <v>98</v>
      </c>
      <c r="E110" s="3" t="s">
        <v>858</v>
      </c>
      <c r="F110" s="3" t="s">
        <v>859</v>
      </c>
      <c r="G110" s="3" t="s">
        <v>860</v>
      </c>
      <c r="H110" s="3" t="s">
        <v>46</v>
      </c>
      <c r="I110" s="3" t="s">
        <v>114</v>
      </c>
      <c r="J110" s="3" t="s">
        <v>29</v>
      </c>
      <c r="K110" s="3" t="s">
        <v>220</v>
      </c>
      <c r="L110" s="3" t="s">
        <v>31</v>
      </c>
      <c r="M110" s="3" t="s">
        <v>32</v>
      </c>
      <c r="N110" s="3" t="s">
        <v>21</v>
      </c>
      <c r="O110" s="3" t="s">
        <v>34</v>
      </c>
      <c r="P110" s="3" t="s">
        <v>35</v>
      </c>
      <c r="Q110" s="3" t="s">
        <v>861</v>
      </c>
      <c r="R110" s="3" t="s">
        <v>862</v>
      </c>
      <c r="S110" s="3" t="s">
        <v>53</v>
      </c>
      <c r="T110" s="3" t="s">
        <v>186</v>
      </c>
    </row>
    <row r="111" spans="1:20" x14ac:dyDescent="0.3">
      <c r="A111" s="3" t="s">
        <v>863</v>
      </c>
      <c r="B111" s="3" t="s">
        <v>864</v>
      </c>
      <c r="C111" s="3" t="s">
        <v>502</v>
      </c>
      <c r="D111" s="3" t="s">
        <v>241</v>
      </c>
      <c r="E111" s="3" t="s">
        <v>865</v>
      </c>
      <c r="F111" s="3" t="s">
        <v>866</v>
      </c>
      <c r="G111" s="3" t="s">
        <v>867</v>
      </c>
      <c r="H111" s="3" t="s">
        <v>158</v>
      </c>
      <c r="I111" s="3" t="s">
        <v>114</v>
      </c>
      <c r="J111" s="3" t="s">
        <v>29</v>
      </c>
      <c r="K111" s="3" t="s">
        <v>146</v>
      </c>
      <c r="L111" s="3" t="s">
        <v>115</v>
      </c>
      <c r="M111" s="3" t="s">
        <v>116</v>
      </c>
      <c r="N111" s="3" t="s">
        <v>868</v>
      </c>
      <c r="O111" s="3" t="s">
        <v>278</v>
      </c>
      <c r="P111" s="3" t="s">
        <v>119</v>
      </c>
      <c r="Q111" s="3" t="s">
        <v>869</v>
      </c>
      <c r="R111" s="3" t="s">
        <v>870</v>
      </c>
      <c r="S111" s="3" t="s">
        <v>53</v>
      </c>
      <c r="T111" s="3" t="s">
        <v>151</v>
      </c>
    </row>
    <row r="112" spans="1:20" x14ac:dyDescent="0.3">
      <c r="A112" s="3" t="s">
        <v>871</v>
      </c>
      <c r="B112" s="3" t="s">
        <v>159</v>
      </c>
      <c r="C112" s="3" t="s">
        <v>350</v>
      </c>
      <c r="D112" s="3" t="s">
        <v>84</v>
      </c>
      <c r="E112" s="3" t="s">
        <v>872</v>
      </c>
      <c r="F112" s="3" t="s">
        <v>873</v>
      </c>
      <c r="G112" s="3" t="s">
        <v>874</v>
      </c>
      <c r="H112" s="3" t="s">
        <v>193</v>
      </c>
      <c r="I112" s="3" t="s">
        <v>114</v>
      </c>
      <c r="J112" s="3" t="s">
        <v>29</v>
      </c>
      <c r="K112" s="3" t="s">
        <v>146</v>
      </c>
      <c r="L112" s="3" t="s">
        <v>31</v>
      </c>
      <c r="M112" s="3" t="s">
        <v>90</v>
      </c>
      <c r="N112" s="3" t="s">
        <v>459</v>
      </c>
      <c r="O112" s="3" t="s">
        <v>278</v>
      </c>
      <c r="P112" s="3" t="s">
        <v>119</v>
      </c>
      <c r="Q112" s="3" t="s">
        <v>875</v>
      </c>
      <c r="R112" s="3" t="s">
        <v>876</v>
      </c>
      <c r="S112" s="3" t="s">
        <v>53</v>
      </c>
      <c r="T112" s="3" t="s">
        <v>80</v>
      </c>
    </row>
    <row r="113" spans="1:20" x14ac:dyDescent="0.3">
      <c r="A113" s="3" t="s">
        <v>877</v>
      </c>
      <c r="B113" s="3" t="s">
        <v>868</v>
      </c>
      <c r="C113" s="3" t="s">
        <v>341</v>
      </c>
      <c r="D113" s="3" t="s">
        <v>84</v>
      </c>
      <c r="E113" s="3" t="s">
        <v>878</v>
      </c>
      <c r="F113" s="3" t="s">
        <v>879</v>
      </c>
      <c r="G113" s="3" t="s">
        <v>880</v>
      </c>
      <c r="H113" s="3" t="s">
        <v>60</v>
      </c>
      <c r="I113" s="3" t="s">
        <v>114</v>
      </c>
      <c r="J113" s="3" t="s">
        <v>29</v>
      </c>
      <c r="K113" s="3" t="s">
        <v>89</v>
      </c>
      <c r="L113" s="3" t="s">
        <v>48</v>
      </c>
      <c r="M113" s="3" t="s">
        <v>116</v>
      </c>
      <c r="N113" s="3" t="s">
        <v>133</v>
      </c>
      <c r="O113" s="3" t="s">
        <v>50</v>
      </c>
      <c r="P113" s="3" t="s">
        <v>35</v>
      </c>
      <c r="Q113" s="3" t="s">
        <v>881</v>
      </c>
      <c r="R113" s="3" t="s">
        <v>882</v>
      </c>
      <c r="S113" s="3" t="s">
        <v>53</v>
      </c>
      <c r="T113" s="3" t="s">
        <v>248</v>
      </c>
    </row>
    <row r="114" spans="1:20" x14ac:dyDescent="0.3">
      <c r="A114" s="3" t="s">
        <v>883</v>
      </c>
      <c r="B114" s="3" t="s">
        <v>884</v>
      </c>
      <c r="C114" s="3" t="s">
        <v>341</v>
      </c>
      <c r="D114" s="3" t="s">
        <v>154</v>
      </c>
      <c r="E114" s="3" t="s">
        <v>885</v>
      </c>
      <c r="F114" s="3" t="s">
        <v>886</v>
      </c>
      <c r="G114" s="3" t="s">
        <v>887</v>
      </c>
      <c r="H114" s="3" t="s">
        <v>76</v>
      </c>
      <c r="I114" s="3" t="s">
        <v>102</v>
      </c>
      <c r="J114" s="3" t="s">
        <v>29</v>
      </c>
      <c r="K114" s="3" t="s">
        <v>220</v>
      </c>
      <c r="L114" s="3" t="s">
        <v>48</v>
      </c>
      <c r="M114" s="3" t="s">
        <v>32</v>
      </c>
      <c r="N114" s="3" t="s">
        <v>888</v>
      </c>
      <c r="O114" s="3" t="s">
        <v>118</v>
      </c>
      <c r="P114" s="3" t="s">
        <v>119</v>
      </c>
      <c r="Q114" s="3" t="s">
        <v>889</v>
      </c>
      <c r="R114" s="3" t="s">
        <v>890</v>
      </c>
      <c r="S114" s="3" t="s">
        <v>53</v>
      </c>
      <c r="T114" s="3" t="s">
        <v>186</v>
      </c>
    </row>
    <row r="115" spans="1:20" x14ac:dyDescent="0.3">
      <c r="A115" s="3" t="s">
        <v>891</v>
      </c>
      <c r="B115" s="3" t="s">
        <v>33</v>
      </c>
      <c r="C115" s="3" t="s">
        <v>56</v>
      </c>
      <c r="D115" s="3" t="s">
        <v>84</v>
      </c>
      <c r="E115" s="3" t="s">
        <v>892</v>
      </c>
      <c r="F115" s="3" t="s">
        <v>893</v>
      </c>
      <c r="G115" s="3" t="s">
        <v>894</v>
      </c>
      <c r="H115" s="3" t="s">
        <v>76</v>
      </c>
      <c r="I115" s="3" t="s">
        <v>128</v>
      </c>
      <c r="J115" s="3" t="s">
        <v>29</v>
      </c>
      <c r="K115" s="3" t="s">
        <v>61</v>
      </c>
      <c r="L115" s="3" t="s">
        <v>62</v>
      </c>
      <c r="M115" s="3" t="s">
        <v>90</v>
      </c>
      <c r="N115" s="3" t="s">
        <v>669</v>
      </c>
      <c r="O115" s="3" t="s">
        <v>148</v>
      </c>
      <c r="P115" s="3" t="s">
        <v>35</v>
      </c>
      <c r="Q115" s="3" t="s">
        <v>895</v>
      </c>
      <c r="R115" s="3" t="s">
        <v>896</v>
      </c>
      <c r="S115" s="3" t="s">
        <v>53</v>
      </c>
      <c r="T115" s="3" t="s">
        <v>80</v>
      </c>
    </row>
    <row r="116" spans="1:20" x14ac:dyDescent="0.3">
      <c r="A116" s="3" t="s">
        <v>897</v>
      </c>
      <c r="B116" s="3" t="s">
        <v>613</v>
      </c>
      <c r="C116" s="3" t="s">
        <v>199</v>
      </c>
      <c r="D116" s="3" t="s">
        <v>72</v>
      </c>
      <c r="E116" s="3" t="s">
        <v>898</v>
      </c>
      <c r="F116" s="3" t="s">
        <v>899</v>
      </c>
      <c r="G116" s="3" t="s">
        <v>900</v>
      </c>
      <c r="H116" s="3" t="s">
        <v>88</v>
      </c>
      <c r="I116" s="3" t="s">
        <v>47</v>
      </c>
      <c r="J116" s="3" t="s">
        <v>29</v>
      </c>
      <c r="K116" s="3" t="s">
        <v>89</v>
      </c>
      <c r="L116" s="3" t="s">
        <v>62</v>
      </c>
      <c r="M116" s="3" t="s">
        <v>116</v>
      </c>
      <c r="N116" s="3" t="s">
        <v>159</v>
      </c>
      <c r="O116" s="3" t="s">
        <v>92</v>
      </c>
      <c r="P116" s="3" t="s">
        <v>35</v>
      </c>
      <c r="Q116" s="3" t="s">
        <v>901</v>
      </c>
      <c r="R116" s="3" t="s">
        <v>902</v>
      </c>
      <c r="S116" s="3" t="s">
        <v>53</v>
      </c>
      <c r="T116" s="3" t="s">
        <v>80</v>
      </c>
    </row>
    <row r="117" spans="1:20" x14ac:dyDescent="0.3">
      <c r="A117" s="3" t="s">
        <v>903</v>
      </c>
      <c r="B117" s="3" t="s">
        <v>250</v>
      </c>
      <c r="C117" s="3" t="s">
        <v>216</v>
      </c>
      <c r="D117" s="3" t="s">
        <v>23</v>
      </c>
      <c r="E117" s="3" t="s">
        <v>904</v>
      </c>
      <c r="F117" s="3" t="s">
        <v>905</v>
      </c>
      <c r="G117" s="3" t="s">
        <v>906</v>
      </c>
      <c r="H117" s="3" t="s">
        <v>46</v>
      </c>
      <c r="I117" s="3" t="s">
        <v>114</v>
      </c>
      <c r="J117" s="3" t="s">
        <v>29</v>
      </c>
      <c r="K117" s="3" t="s">
        <v>146</v>
      </c>
      <c r="L117" s="3" t="s">
        <v>31</v>
      </c>
      <c r="M117" s="3" t="s">
        <v>63</v>
      </c>
      <c r="N117" s="3" t="s">
        <v>907</v>
      </c>
      <c r="O117" s="3" t="s">
        <v>65</v>
      </c>
      <c r="P117" s="3" t="s">
        <v>35</v>
      </c>
      <c r="Q117" s="3" t="s">
        <v>908</v>
      </c>
      <c r="R117" s="3" t="s">
        <v>909</v>
      </c>
      <c r="S117" s="3" t="s">
        <v>38</v>
      </c>
      <c r="T117" s="3" t="s">
        <v>80</v>
      </c>
    </row>
    <row r="118" spans="1:20" x14ac:dyDescent="0.3">
      <c r="A118" s="3" t="s">
        <v>910</v>
      </c>
      <c r="B118" s="3" t="s">
        <v>911</v>
      </c>
      <c r="C118" s="3" t="s">
        <v>502</v>
      </c>
      <c r="D118" s="3" t="s">
        <v>189</v>
      </c>
      <c r="E118" s="3" t="s">
        <v>912</v>
      </c>
      <c r="F118" s="3" t="s">
        <v>913</v>
      </c>
      <c r="G118" s="3" t="s">
        <v>914</v>
      </c>
      <c r="H118" s="3" t="s">
        <v>76</v>
      </c>
      <c r="I118" s="3" t="s">
        <v>88</v>
      </c>
      <c r="J118" s="3" t="s">
        <v>29</v>
      </c>
      <c r="K118" s="3" t="s">
        <v>146</v>
      </c>
      <c r="L118" s="3" t="s">
        <v>31</v>
      </c>
      <c r="M118" s="3" t="s">
        <v>90</v>
      </c>
      <c r="N118" s="3" t="s">
        <v>854</v>
      </c>
      <c r="O118" s="3" t="s">
        <v>106</v>
      </c>
      <c r="P118" s="3" t="s">
        <v>107</v>
      </c>
      <c r="Q118" s="3" t="s">
        <v>915</v>
      </c>
      <c r="R118" s="3" t="s">
        <v>916</v>
      </c>
      <c r="S118" s="3" t="s">
        <v>38</v>
      </c>
      <c r="T118" s="3" t="s">
        <v>186</v>
      </c>
    </row>
    <row r="119" spans="1:20" x14ac:dyDescent="0.3">
      <c r="A119" s="3" t="s">
        <v>917</v>
      </c>
      <c r="B119" s="3" t="s">
        <v>282</v>
      </c>
      <c r="C119" s="3" t="s">
        <v>283</v>
      </c>
      <c r="D119" s="3" t="s">
        <v>164</v>
      </c>
      <c r="E119" s="3" t="s">
        <v>918</v>
      </c>
      <c r="F119" s="3" t="s">
        <v>919</v>
      </c>
      <c r="G119" s="3" t="s">
        <v>920</v>
      </c>
      <c r="H119" s="3" t="s">
        <v>193</v>
      </c>
      <c r="I119" s="3" t="s">
        <v>102</v>
      </c>
      <c r="J119" s="3" t="s">
        <v>29</v>
      </c>
      <c r="K119" s="3" t="s">
        <v>103</v>
      </c>
      <c r="L119" s="3" t="s">
        <v>48</v>
      </c>
      <c r="M119" s="3" t="s">
        <v>90</v>
      </c>
      <c r="N119" s="3" t="s">
        <v>921</v>
      </c>
      <c r="O119" s="3" t="s">
        <v>148</v>
      </c>
      <c r="P119" s="3" t="s">
        <v>35</v>
      </c>
      <c r="Q119" s="3" t="s">
        <v>922</v>
      </c>
      <c r="R119" s="3" t="s">
        <v>923</v>
      </c>
      <c r="S119" s="3" t="s">
        <v>53</v>
      </c>
      <c r="T119" s="3" t="s">
        <v>151</v>
      </c>
    </row>
    <row r="120" spans="1:20" x14ac:dyDescent="0.3">
      <c r="A120" s="3" t="s">
        <v>924</v>
      </c>
      <c r="B120" s="3" t="s">
        <v>925</v>
      </c>
      <c r="C120" s="3" t="s">
        <v>502</v>
      </c>
      <c r="D120" s="3" t="s">
        <v>164</v>
      </c>
      <c r="E120" s="3" t="s">
        <v>926</v>
      </c>
      <c r="F120" s="3" t="s">
        <v>927</v>
      </c>
      <c r="G120" s="3" t="s">
        <v>928</v>
      </c>
      <c r="H120" s="3" t="s">
        <v>193</v>
      </c>
      <c r="I120" s="3" t="s">
        <v>114</v>
      </c>
      <c r="J120" s="3" t="s">
        <v>29</v>
      </c>
      <c r="K120" s="3" t="s">
        <v>61</v>
      </c>
      <c r="L120" s="3" t="s">
        <v>115</v>
      </c>
      <c r="M120" s="3" t="s">
        <v>116</v>
      </c>
      <c r="N120" s="3" t="s">
        <v>929</v>
      </c>
      <c r="O120" s="3" t="s">
        <v>278</v>
      </c>
      <c r="P120" s="3" t="s">
        <v>119</v>
      </c>
      <c r="Q120" s="3" t="s">
        <v>930</v>
      </c>
      <c r="R120" s="3" t="s">
        <v>931</v>
      </c>
      <c r="S120" s="3" t="s">
        <v>38</v>
      </c>
      <c r="T120" s="3" t="s">
        <v>80</v>
      </c>
    </row>
    <row r="121" spans="1:20" x14ac:dyDescent="0.3">
      <c r="A121" s="3" t="s">
        <v>932</v>
      </c>
      <c r="B121" s="3" t="s">
        <v>759</v>
      </c>
      <c r="C121" s="3" t="s">
        <v>216</v>
      </c>
      <c r="D121" s="3" t="s">
        <v>241</v>
      </c>
      <c r="E121" s="3" t="s">
        <v>933</v>
      </c>
      <c r="F121" s="3" t="s">
        <v>934</v>
      </c>
      <c r="G121" s="3" t="s">
        <v>935</v>
      </c>
      <c r="H121" s="3" t="s">
        <v>193</v>
      </c>
      <c r="I121" s="3" t="s">
        <v>114</v>
      </c>
      <c r="J121" s="3" t="s">
        <v>29</v>
      </c>
      <c r="K121" s="3" t="s">
        <v>30</v>
      </c>
      <c r="L121" s="3" t="s">
        <v>31</v>
      </c>
      <c r="M121" s="3" t="s">
        <v>63</v>
      </c>
      <c r="N121" s="3" t="s">
        <v>240</v>
      </c>
      <c r="O121" s="3" t="s">
        <v>278</v>
      </c>
      <c r="P121" s="3" t="s">
        <v>119</v>
      </c>
      <c r="Q121" s="3" t="s">
        <v>936</v>
      </c>
      <c r="R121" s="3" t="s">
        <v>937</v>
      </c>
      <c r="S121" s="3" t="s">
        <v>53</v>
      </c>
      <c r="T121" s="3" t="s">
        <v>248</v>
      </c>
    </row>
    <row r="122" spans="1:20" x14ac:dyDescent="0.3">
      <c r="A122" s="3" t="s">
        <v>938</v>
      </c>
      <c r="B122" s="3" t="s">
        <v>939</v>
      </c>
      <c r="C122" s="3" t="s">
        <v>97</v>
      </c>
      <c r="D122" s="3" t="s">
        <v>84</v>
      </c>
      <c r="E122" s="3" t="s">
        <v>940</v>
      </c>
      <c r="F122" s="3" t="s">
        <v>941</v>
      </c>
      <c r="G122" s="3" t="s">
        <v>942</v>
      </c>
      <c r="H122" s="3" t="s">
        <v>193</v>
      </c>
      <c r="I122" s="3" t="s">
        <v>128</v>
      </c>
      <c r="J122" s="3" t="s">
        <v>29</v>
      </c>
      <c r="K122" s="3" t="s">
        <v>103</v>
      </c>
      <c r="L122" s="3" t="s">
        <v>48</v>
      </c>
      <c r="M122" s="3" t="s">
        <v>63</v>
      </c>
      <c r="N122" s="3" t="s">
        <v>567</v>
      </c>
      <c r="O122" s="3" t="s">
        <v>106</v>
      </c>
      <c r="P122" s="3" t="s">
        <v>107</v>
      </c>
      <c r="Q122" s="3" t="s">
        <v>943</v>
      </c>
      <c r="R122" s="3" t="s">
        <v>944</v>
      </c>
      <c r="S122" s="3" t="s">
        <v>53</v>
      </c>
      <c r="T122" s="3" t="s">
        <v>186</v>
      </c>
    </row>
    <row r="123" spans="1:20" x14ac:dyDescent="0.3">
      <c r="A123" s="3" t="s">
        <v>945</v>
      </c>
      <c r="B123" s="3" t="s">
        <v>312</v>
      </c>
      <c r="C123" s="3" t="s">
        <v>283</v>
      </c>
      <c r="D123" s="3" t="s">
        <v>23</v>
      </c>
      <c r="E123" s="3" t="s">
        <v>946</v>
      </c>
      <c r="F123" s="3" t="s">
        <v>947</v>
      </c>
      <c r="G123" s="3" t="s">
        <v>948</v>
      </c>
      <c r="H123" s="3" t="s">
        <v>88</v>
      </c>
      <c r="I123" s="3" t="s">
        <v>102</v>
      </c>
      <c r="J123" s="3" t="s">
        <v>29</v>
      </c>
      <c r="K123" s="3" t="s">
        <v>146</v>
      </c>
      <c r="L123" s="3" t="s">
        <v>104</v>
      </c>
      <c r="M123" s="3" t="s">
        <v>116</v>
      </c>
      <c r="N123" s="3" t="s">
        <v>806</v>
      </c>
      <c r="O123" s="3" t="s">
        <v>92</v>
      </c>
      <c r="P123" s="3" t="s">
        <v>35</v>
      </c>
      <c r="Q123" s="3" t="s">
        <v>949</v>
      </c>
      <c r="R123" s="3" t="s">
        <v>950</v>
      </c>
      <c r="S123" s="3" t="s">
        <v>53</v>
      </c>
      <c r="T123" s="3" t="s">
        <v>248</v>
      </c>
    </row>
    <row r="124" spans="1:20" x14ac:dyDescent="0.3">
      <c r="A124" s="3" t="s">
        <v>951</v>
      </c>
      <c r="B124" s="3" t="s">
        <v>952</v>
      </c>
      <c r="C124" s="3" t="s">
        <v>97</v>
      </c>
      <c r="D124" s="3" t="s">
        <v>154</v>
      </c>
      <c r="E124" s="3" t="s">
        <v>953</v>
      </c>
      <c r="F124" s="3" t="s">
        <v>954</v>
      </c>
      <c r="G124" s="3" t="s">
        <v>955</v>
      </c>
      <c r="H124" s="3" t="s">
        <v>27</v>
      </c>
      <c r="I124" s="3" t="s">
        <v>245</v>
      </c>
      <c r="J124" s="3" t="s">
        <v>29</v>
      </c>
      <c r="K124" s="3" t="s">
        <v>146</v>
      </c>
      <c r="L124" s="3" t="s">
        <v>104</v>
      </c>
      <c r="M124" s="3" t="s">
        <v>90</v>
      </c>
      <c r="N124" s="3" t="s">
        <v>956</v>
      </c>
      <c r="O124" s="3" t="s">
        <v>106</v>
      </c>
      <c r="P124" s="3" t="s">
        <v>107</v>
      </c>
      <c r="Q124" s="3" t="s">
        <v>957</v>
      </c>
      <c r="R124" s="3" t="s">
        <v>958</v>
      </c>
      <c r="S124" s="3" t="s">
        <v>38</v>
      </c>
      <c r="T124" s="3" t="s">
        <v>151</v>
      </c>
    </row>
    <row r="125" spans="1:20" x14ac:dyDescent="0.3">
      <c r="A125" s="3" t="s">
        <v>959</v>
      </c>
      <c r="B125" s="3" t="s">
        <v>613</v>
      </c>
      <c r="C125" s="3" t="s">
        <v>199</v>
      </c>
      <c r="D125" s="3" t="s">
        <v>72</v>
      </c>
      <c r="E125" s="3" t="s">
        <v>960</v>
      </c>
      <c r="F125" s="3" t="s">
        <v>961</v>
      </c>
      <c r="G125" s="3" t="s">
        <v>962</v>
      </c>
      <c r="H125" s="3" t="s">
        <v>158</v>
      </c>
      <c r="I125" s="3" t="s">
        <v>88</v>
      </c>
      <c r="J125" s="3" t="s">
        <v>29</v>
      </c>
      <c r="K125" s="3" t="s">
        <v>61</v>
      </c>
      <c r="L125" s="3" t="s">
        <v>62</v>
      </c>
      <c r="M125" s="3" t="s">
        <v>90</v>
      </c>
      <c r="N125" s="3" t="s">
        <v>307</v>
      </c>
      <c r="O125" s="3" t="s">
        <v>65</v>
      </c>
      <c r="P125" s="3" t="s">
        <v>35</v>
      </c>
      <c r="Q125" s="3" t="s">
        <v>963</v>
      </c>
      <c r="R125" s="3" t="s">
        <v>964</v>
      </c>
      <c r="S125" s="3" t="s">
        <v>38</v>
      </c>
      <c r="T125" s="3" t="s">
        <v>39</v>
      </c>
    </row>
    <row r="126" spans="1:20" x14ac:dyDescent="0.3">
      <c r="A126" s="3" t="s">
        <v>965</v>
      </c>
      <c r="B126" s="3" t="s">
        <v>952</v>
      </c>
      <c r="C126" s="3" t="s">
        <v>97</v>
      </c>
      <c r="D126" s="3" t="s">
        <v>154</v>
      </c>
      <c r="E126" s="3" t="s">
        <v>966</v>
      </c>
      <c r="F126" s="3" t="s">
        <v>967</v>
      </c>
      <c r="G126" s="3" t="s">
        <v>968</v>
      </c>
      <c r="H126" s="3" t="s">
        <v>311</v>
      </c>
      <c r="I126" s="3" t="s">
        <v>88</v>
      </c>
      <c r="J126" s="3" t="s">
        <v>29</v>
      </c>
      <c r="K126" s="3" t="s">
        <v>30</v>
      </c>
      <c r="L126" s="3" t="s">
        <v>48</v>
      </c>
      <c r="M126" s="3" t="s">
        <v>116</v>
      </c>
      <c r="N126" s="3" t="s">
        <v>969</v>
      </c>
      <c r="O126" s="3" t="s">
        <v>106</v>
      </c>
      <c r="P126" s="3" t="s">
        <v>107</v>
      </c>
      <c r="Q126" s="3" t="s">
        <v>970</v>
      </c>
      <c r="R126" s="3" t="s">
        <v>971</v>
      </c>
      <c r="S126" s="3" t="s">
        <v>53</v>
      </c>
      <c r="T126" s="3" t="s">
        <v>68</v>
      </c>
    </row>
    <row r="127" spans="1:20" x14ac:dyDescent="0.3">
      <c r="A127" s="3" t="s">
        <v>972</v>
      </c>
      <c r="B127" s="3" t="s">
        <v>21</v>
      </c>
      <c r="C127" s="3" t="s">
        <v>22</v>
      </c>
      <c r="D127" s="3" t="s">
        <v>23</v>
      </c>
      <c r="E127" s="3" t="s">
        <v>973</v>
      </c>
      <c r="F127" s="3" t="s">
        <v>974</v>
      </c>
      <c r="G127" s="3" t="s">
        <v>975</v>
      </c>
      <c r="H127" s="3" t="s">
        <v>46</v>
      </c>
      <c r="I127" s="3" t="s">
        <v>114</v>
      </c>
      <c r="J127" s="3" t="s">
        <v>29</v>
      </c>
      <c r="K127" s="3" t="s">
        <v>103</v>
      </c>
      <c r="L127" s="3" t="s">
        <v>115</v>
      </c>
      <c r="M127" s="3" t="s">
        <v>63</v>
      </c>
      <c r="N127" s="3" t="s">
        <v>976</v>
      </c>
      <c r="O127" s="3" t="s">
        <v>34</v>
      </c>
      <c r="P127" s="3" t="s">
        <v>35</v>
      </c>
      <c r="Q127" s="3" t="s">
        <v>977</v>
      </c>
      <c r="R127" s="3" t="s">
        <v>978</v>
      </c>
      <c r="S127" s="3" t="s">
        <v>38</v>
      </c>
      <c r="T127" s="3" t="s">
        <v>39</v>
      </c>
    </row>
    <row r="128" spans="1:20" x14ac:dyDescent="0.3">
      <c r="A128" s="3" t="s">
        <v>979</v>
      </c>
      <c r="B128" s="3" t="s">
        <v>652</v>
      </c>
      <c r="C128" s="3" t="s">
        <v>71</v>
      </c>
      <c r="D128" s="3" t="s">
        <v>135</v>
      </c>
      <c r="E128" s="3" t="s">
        <v>980</v>
      </c>
      <c r="F128" s="3" t="s">
        <v>981</v>
      </c>
      <c r="G128" s="3" t="s">
        <v>982</v>
      </c>
      <c r="H128" s="3" t="s">
        <v>158</v>
      </c>
      <c r="I128" s="3" t="s">
        <v>245</v>
      </c>
      <c r="J128" s="3" t="s">
        <v>29</v>
      </c>
      <c r="K128" s="3" t="s">
        <v>89</v>
      </c>
      <c r="L128" s="3" t="s">
        <v>104</v>
      </c>
      <c r="M128" s="3" t="s">
        <v>90</v>
      </c>
      <c r="N128" s="3" t="s">
        <v>194</v>
      </c>
      <c r="O128" s="3" t="s">
        <v>65</v>
      </c>
      <c r="P128" s="3" t="s">
        <v>35</v>
      </c>
      <c r="Q128" s="3" t="s">
        <v>983</v>
      </c>
      <c r="R128" s="3" t="s">
        <v>984</v>
      </c>
      <c r="S128" s="3" t="s">
        <v>53</v>
      </c>
      <c r="T128" s="3" t="s">
        <v>80</v>
      </c>
    </row>
    <row r="129" spans="1:20" x14ac:dyDescent="0.3">
      <c r="A129" s="3" t="s">
        <v>985</v>
      </c>
      <c r="B129" s="3" t="s">
        <v>407</v>
      </c>
      <c r="C129" s="3" t="s">
        <v>22</v>
      </c>
      <c r="D129" s="3" t="s">
        <v>164</v>
      </c>
      <c r="E129" s="3" t="s">
        <v>986</v>
      </c>
      <c r="F129" s="3" t="s">
        <v>987</v>
      </c>
      <c r="G129" s="3" t="s">
        <v>988</v>
      </c>
      <c r="H129" s="3" t="s">
        <v>311</v>
      </c>
      <c r="I129" s="3" t="s">
        <v>245</v>
      </c>
      <c r="J129" s="3" t="s">
        <v>29</v>
      </c>
      <c r="K129" s="3" t="s">
        <v>89</v>
      </c>
      <c r="L129" s="3" t="s">
        <v>31</v>
      </c>
      <c r="M129" s="3" t="s">
        <v>90</v>
      </c>
      <c r="N129" s="3" t="s">
        <v>82</v>
      </c>
      <c r="O129" s="3" t="s">
        <v>65</v>
      </c>
      <c r="P129" s="3" t="s">
        <v>35</v>
      </c>
      <c r="Q129" s="3" t="s">
        <v>989</v>
      </c>
      <c r="R129" s="3" t="s">
        <v>990</v>
      </c>
      <c r="S129" s="3" t="s">
        <v>38</v>
      </c>
      <c r="T129" s="3" t="s">
        <v>186</v>
      </c>
    </row>
    <row r="130" spans="1:20" x14ac:dyDescent="0.3">
      <c r="A130" s="3" t="s">
        <v>991</v>
      </c>
      <c r="B130" s="3" t="s">
        <v>992</v>
      </c>
      <c r="C130" s="3" t="s">
        <v>56</v>
      </c>
      <c r="D130" s="3" t="s">
        <v>154</v>
      </c>
      <c r="E130" s="3" t="s">
        <v>993</v>
      </c>
      <c r="F130" s="3" t="s">
        <v>994</v>
      </c>
      <c r="G130" s="3" t="s">
        <v>995</v>
      </c>
      <c r="H130" s="3" t="s">
        <v>88</v>
      </c>
      <c r="I130" s="3" t="s">
        <v>102</v>
      </c>
      <c r="J130" s="3" t="s">
        <v>29</v>
      </c>
      <c r="K130" s="3" t="s">
        <v>103</v>
      </c>
      <c r="L130" s="3" t="s">
        <v>115</v>
      </c>
      <c r="M130" s="3" t="s">
        <v>32</v>
      </c>
      <c r="N130" s="3" t="s">
        <v>996</v>
      </c>
      <c r="O130" s="3" t="s">
        <v>118</v>
      </c>
      <c r="P130" s="3" t="s">
        <v>119</v>
      </c>
      <c r="Q130" s="3" t="s">
        <v>997</v>
      </c>
      <c r="R130" s="3" t="s">
        <v>998</v>
      </c>
      <c r="S130" s="3" t="s">
        <v>38</v>
      </c>
      <c r="T130" s="3" t="s">
        <v>186</v>
      </c>
    </row>
    <row r="131" spans="1:20" x14ac:dyDescent="0.3">
      <c r="A131" s="3" t="s">
        <v>999</v>
      </c>
      <c r="B131" s="3" t="s">
        <v>782</v>
      </c>
      <c r="C131" s="3" t="s">
        <v>42</v>
      </c>
      <c r="D131" s="3" t="s">
        <v>98</v>
      </c>
      <c r="E131" s="3" t="s">
        <v>1000</v>
      </c>
      <c r="F131" s="3" t="s">
        <v>1001</v>
      </c>
      <c r="G131" s="3" t="s">
        <v>1002</v>
      </c>
      <c r="H131" s="3" t="s">
        <v>158</v>
      </c>
      <c r="I131" s="3" t="s">
        <v>88</v>
      </c>
      <c r="J131" s="3" t="s">
        <v>29</v>
      </c>
      <c r="K131" s="3" t="s">
        <v>30</v>
      </c>
      <c r="L131" s="3" t="s">
        <v>104</v>
      </c>
      <c r="M131" s="3" t="s">
        <v>32</v>
      </c>
      <c r="N131" s="3" t="s">
        <v>320</v>
      </c>
      <c r="O131" s="3" t="s">
        <v>118</v>
      </c>
      <c r="P131" s="3" t="s">
        <v>119</v>
      </c>
      <c r="Q131" s="3" t="s">
        <v>1003</v>
      </c>
      <c r="R131" s="3" t="s">
        <v>1004</v>
      </c>
      <c r="S131" s="3" t="s">
        <v>53</v>
      </c>
      <c r="T131" s="3" t="s">
        <v>248</v>
      </c>
    </row>
    <row r="132" spans="1:20" x14ac:dyDescent="0.3">
      <c r="A132" s="3" t="s">
        <v>1005</v>
      </c>
      <c r="B132" s="3" t="s">
        <v>510</v>
      </c>
      <c r="C132" s="3" t="s">
        <v>283</v>
      </c>
      <c r="D132" s="3" t="s">
        <v>72</v>
      </c>
      <c r="E132" s="3" t="s">
        <v>1006</v>
      </c>
      <c r="F132" s="3" t="s">
        <v>1007</v>
      </c>
      <c r="G132" s="3" t="s">
        <v>1008</v>
      </c>
      <c r="H132" s="3" t="s">
        <v>46</v>
      </c>
      <c r="I132" s="3" t="s">
        <v>102</v>
      </c>
      <c r="J132" s="3" t="s">
        <v>29</v>
      </c>
      <c r="K132" s="3" t="s">
        <v>89</v>
      </c>
      <c r="L132" s="3" t="s">
        <v>31</v>
      </c>
      <c r="M132" s="3" t="s">
        <v>63</v>
      </c>
      <c r="N132" s="3" t="s">
        <v>1009</v>
      </c>
      <c r="O132" s="3" t="s">
        <v>92</v>
      </c>
      <c r="P132" s="3" t="s">
        <v>35</v>
      </c>
      <c r="Q132" s="3" t="s">
        <v>1010</v>
      </c>
      <c r="R132" s="3" t="s">
        <v>1011</v>
      </c>
      <c r="S132" s="3" t="s">
        <v>38</v>
      </c>
      <c r="T132" s="3" t="s">
        <v>68</v>
      </c>
    </row>
    <row r="133" spans="1:20" x14ac:dyDescent="0.3">
      <c r="A133" s="3" t="s">
        <v>1012</v>
      </c>
      <c r="B133" s="3" t="s">
        <v>656</v>
      </c>
      <c r="C133" s="3" t="s">
        <v>56</v>
      </c>
      <c r="D133" s="3" t="s">
        <v>72</v>
      </c>
      <c r="E133" s="3" t="s">
        <v>1013</v>
      </c>
      <c r="F133" s="3" t="s">
        <v>1014</v>
      </c>
      <c r="G133" s="3" t="s">
        <v>1015</v>
      </c>
      <c r="H133" s="3" t="s">
        <v>46</v>
      </c>
      <c r="I133" s="3" t="s">
        <v>88</v>
      </c>
      <c r="J133" s="3" t="s">
        <v>29</v>
      </c>
      <c r="K133" s="3" t="s">
        <v>30</v>
      </c>
      <c r="L133" s="3" t="s">
        <v>48</v>
      </c>
      <c r="M133" s="3" t="s">
        <v>63</v>
      </c>
      <c r="N133" s="3" t="s">
        <v>1016</v>
      </c>
      <c r="O133" s="3" t="s">
        <v>92</v>
      </c>
      <c r="P133" s="3" t="s">
        <v>35</v>
      </c>
      <c r="Q133" s="3" t="s">
        <v>1017</v>
      </c>
      <c r="R133" s="3" t="s">
        <v>1018</v>
      </c>
      <c r="S133" s="3" t="s">
        <v>53</v>
      </c>
      <c r="T133" s="3" t="s">
        <v>186</v>
      </c>
    </row>
    <row r="134" spans="1:20" x14ac:dyDescent="0.3">
      <c r="A134" s="3" t="s">
        <v>1019</v>
      </c>
      <c r="B134" s="3" t="s">
        <v>257</v>
      </c>
      <c r="C134" s="3" t="s">
        <v>258</v>
      </c>
      <c r="D134" s="3" t="s">
        <v>23</v>
      </c>
      <c r="E134" s="3" t="s">
        <v>1020</v>
      </c>
      <c r="F134" s="3" t="s">
        <v>1021</v>
      </c>
      <c r="G134" s="3" t="s">
        <v>1022</v>
      </c>
      <c r="H134" s="3" t="s">
        <v>27</v>
      </c>
      <c r="I134" s="3" t="s">
        <v>245</v>
      </c>
      <c r="J134" s="3" t="s">
        <v>29</v>
      </c>
      <c r="K134" s="3" t="s">
        <v>61</v>
      </c>
      <c r="L134" s="3" t="s">
        <v>48</v>
      </c>
      <c r="M134" s="3" t="s">
        <v>63</v>
      </c>
      <c r="N134" s="3" t="s">
        <v>802</v>
      </c>
      <c r="O134" s="3" t="s">
        <v>50</v>
      </c>
      <c r="P134" s="3" t="s">
        <v>35</v>
      </c>
      <c r="Q134" s="3" t="s">
        <v>1023</v>
      </c>
      <c r="R134" s="3" t="s">
        <v>1024</v>
      </c>
      <c r="S134" s="3" t="s">
        <v>53</v>
      </c>
      <c r="T134" s="3" t="s">
        <v>151</v>
      </c>
    </row>
    <row r="135" spans="1:20" x14ac:dyDescent="0.3">
      <c r="A135" s="3" t="s">
        <v>1025</v>
      </c>
      <c r="B135" s="3" t="s">
        <v>277</v>
      </c>
      <c r="C135" s="3" t="s">
        <v>325</v>
      </c>
      <c r="D135" s="3" t="s">
        <v>135</v>
      </c>
      <c r="E135" s="3" t="s">
        <v>1026</v>
      </c>
      <c r="F135" s="3" t="s">
        <v>1027</v>
      </c>
      <c r="G135" s="3" t="s">
        <v>1028</v>
      </c>
      <c r="H135" s="3" t="s">
        <v>46</v>
      </c>
      <c r="I135" s="3" t="s">
        <v>88</v>
      </c>
      <c r="J135" s="3" t="s">
        <v>29</v>
      </c>
      <c r="K135" s="3" t="s">
        <v>89</v>
      </c>
      <c r="L135" s="3" t="s">
        <v>104</v>
      </c>
      <c r="M135" s="3" t="s">
        <v>32</v>
      </c>
      <c r="N135" s="3" t="s">
        <v>1029</v>
      </c>
      <c r="O135" s="3" t="s">
        <v>278</v>
      </c>
      <c r="P135" s="3" t="s">
        <v>119</v>
      </c>
      <c r="Q135" s="3" t="s">
        <v>1030</v>
      </c>
      <c r="R135" s="3" t="s">
        <v>1031</v>
      </c>
      <c r="S135" s="3" t="s">
        <v>53</v>
      </c>
      <c r="T135" s="3" t="s">
        <v>151</v>
      </c>
    </row>
    <row r="136" spans="1:20" x14ac:dyDescent="0.3">
      <c r="A136" s="3" t="s">
        <v>1032</v>
      </c>
      <c r="B136" s="3" t="s">
        <v>147</v>
      </c>
      <c r="C136" s="3" t="s">
        <v>71</v>
      </c>
      <c r="D136" s="3" t="s">
        <v>84</v>
      </c>
      <c r="E136" s="3" t="s">
        <v>1033</v>
      </c>
      <c r="F136" s="3" t="s">
        <v>1034</v>
      </c>
      <c r="G136" s="3" t="s">
        <v>1035</v>
      </c>
      <c r="H136" s="3" t="s">
        <v>88</v>
      </c>
      <c r="I136" s="3" t="s">
        <v>245</v>
      </c>
      <c r="J136" s="3" t="s">
        <v>29</v>
      </c>
      <c r="K136" s="3" t="s">
        <v>146</v>
      </c>
      <c r="L136" s="3" t="s">
        <v>115</v>
      </c>
      <c r="M136" s="3" t="s">
        <v>63</v>
      </c>
      <c r="N136" s="3" t="s">
        <v>687</v>
      </c>
      <c r="O136" s="3" t="s">
        <v>106</v>
      </c>
      <c r="P136" s="3" t="s">
        <v>107</v>
      </c>
      <c r="Q136" s="3" t="s">
        <v>1036</v>
      </c>
      <c r="R136" s="3" t="s">
        <v>1037</v>
      </c>
      <c r="S136" s="3" t="s">
        <v>53</v>
      </c>
      <c r="T136" s="3" t="s">
        <v>248</v>
      </c>
    </row>
    <row r="137" spans="1:20" x14ac:dyDescent="0.3">
      <c r="A137" s="3" t="s">
        <v>1038</v>
      </c>
      <c r="B137" s="3" t="s">
        <v>1039</v>
      </c>
      <c r="C137" s="3" t="s">
        <v>199</v>
      </c>
      <c r="D137" s="3" t="s">
        <v>124</v>
      </c>
      <c r="E137" s="3" t="s">
        <v>1040</v>
      </c>
      <c r="F137" s="3" t="s">
        <v>1041</v>
      </c>
      <c r="G137" s="3" t="s">
        <v>1042</v>
      </c>
      <c r="H137" s="3" t="s">
        <v>88</v>
      </c>
      <c r="I137" s="3" t="s">
        <v>28</v>
      </c>
      <c r="J137" s="3" t="s">
        <v>29</v>
      </c>
      <c r="K137" s="3" t="s">
        <v>89</v>
      </c>
      <c r="L137" s="3" t="s">
        <v>104</v>
      </c>
      <c r="M137" s="3" t="s">
        <v>116</v>
      </c>
      <c r="N137" s="3" t="s">
        <v>669</v>
      </c>
      <c r="O137" s="3" t="s">
        <v>34</v>
      </c>
      <c r="P137" s="3" t="s">
        <v>35</v>
      </c>
      <c r="Q137" s="3" t="s">
        <v>1043</v>
      </c>
      <c r="R137" s="3" t="s">
        <v>1044</v>
      </c>
      <c r="S137" s="3" t="s">
        <v>38</v>
      </c>
      <c r="T137" s="3" t="s">
        <v>39</v>
      </c>
    </row>
    <row r="138" spans="1:20" x14ac:dyDescent="0.3">
      <c r="A138" s="3" t="s">
        <v>1045</v>
      </c>
      <c r="B138" s="3" t="s">
        <v>1046</v>
      </c>
      <c r="C138" s="3" t="s">
        <v>22</v>
      </c>
      <c r="D138" s="3" t="s">
        <v>72</v>
      </c>
      <c r="E138" s="3" t="s">
        <v>1047</v>
      </c>
      <c r="F138" s="3" t="s">
        <v>1048</v>
      </c>
      <c r="G138" s="3" t="s">
        <v>1049</v>
      </c>
      <c r="H138" s="3" t="s">
        <v>76</v>
      </c>
      <c r="I138" s="3" t="s">
        <v>47</v>
      </c>
      <c r="J138" s="3" t="s">
        <v>29</v>
      </c>
      <c r="K138" s="3" t="s">
        <v>146</v>
      </c>
      <c r="L138" s="3" t="s">
        <v>48</v>
      </c>
      <c r="M138" s="3" t="s">
        <v>90</v>
      </c>
      <c r="N138" s="3" t="s">
        <v>117</v>
      </c>
      <c r="O138" s="3" t="s">
        <v>65</v>
      </c>
      <c r="P138" s="3" t="s">
        <v>35</v>
      </c>
      <c r="Q138" s="3" t="s">
        <v>1050</v>
      </c>
      <c r="R138" s="3" t="s">
        <v>1051</v>
      </c>
      <c r="S138" s="3" t="s">
        <v>53</v>
      </c>
      <c r="T138" s="3" t="s">
        <v>39</v>
      </c>
    </row>
    <row r="139" spans="1:20" x14ac:dyDescent="0.3">
      <c r="A139" s="3" t="s">
        <v>1052</v>
      </c>
      <c r="B139" s="3" t="s">
        <v>329</v>
      </c>
      <c r="C139" s="3" t="s">
        <v>350</v>
      </c>
      <c r="D139" s="3" t="s">
        <v>72</v>
      </c>
      <c r="E139" s="3" t="s">
        <v>1053</v>
      </c>
      <c r="F139" s="3" t="s">
        <v>1054</v>
      </c>
      <c r="G139" s="3" t="s">
        <v>1055</v>
      </c>
      <c r="H139" s="3" t="s">
        <v>60</v>
      </c>
      <c r="I139" s="3" t="s">
        <v>114</v>
      </c>
      <c r="J139" s="3" t="s">
        <v>29</v>
      </c>
      <c r="K139" s="3" t="s">
        <v>30</v>
      </c>
      <c r="L139" s="3" t="s">
        <v>31</v>
      </c>
      <c r="M139" s="3" t="s">
        <v>63</v>
      </c>
      <c r="N139" s="3" t="s">
        <v>1056</v>
      </c>
      <c r="O139" s="3" t="s">
        <v>278</v>
      </c>
      <c r="P139" s="3" t="s">
        <v>119</v>
      </c>
      <c r="Q139" s="3" t="s">
        <v>1057</v>
      </c>
      <c r="R139" s="3" t="s">
        <v>1058</v>
      </c>
      <c r="S139" s="3" t="s">
        <v>53</v>
      </c>
      <c r="T139" s="3" t="s">
        <v>68</v>
      </c>
    </row>
    <row r="140" spans="1:20" x14ac:dyDescent="0.3">
      <c r="A140" s="3" t="s">
        <v>1059</v>
      </c>
      <c r="B140" s="3" t="s">
        <v>411</v>
      </c>
      <c r="C140" s="3" t="s">
        <v>341</v>
      </c>
      <c r="D140" s="3" t="s">
        <v>124</v>
      </c>
      <c r="E140" s="3" t="s">
        <v>1060</v>
      </c>
      <c r="F140" s="3" t="s">
        <v>1061</v>
      </c>
      <c r="G140" s="3" t="s">
        <v>1062</v>
      </c>
      <c r="H140" s="3" t="s">
        <v>60</v>
      </c>
      <c r="I140" s="3" t="s">
        <v>128</v>
      </c>
      <c r="J140" s="3" t="s">
        <v>29</v>
      </c>
      <c r="K140" s="3" t="s">
        <v>103</v>
      </c>
      <c r="L140" s="3" t="s">
        <v>104</v>
      </c>
      <c r="M140" s="3" t="s">
        <v>32</v>
      </c>
      <c r="N140" s="3" t="s">
        <v>320</v>
      </c>
      <c r="O140" s="3" t="s">
        <v>106</v>
      </c>
      <c r="P140" s="3" t="s">
        <v>107</v>
      </c>
      <c r="Q140" s="3" t="s">
        <v>1063</v>
      </c>
      <c r="R140" s="3" t="s">
        <v>1064</v>
      </c>
      <c r="S140" s="3" t="s">
        <v>38</v>
      </c>
      <c r="T140" s="3" t="s">
        <v>39</v>
      </c>
    </row>
    <row r="141" spans="1:20" x14ac:dyDescent="0.3">
      <c r="A141" s="3" t="s">
        <v>1065</v>
      </c>
      <c r="B141" s="3" t="s">
        <v>340</v>
      </c>
      <c r="C141" s="3" t="s">
        <v>341</v>
      </c>
      <c r="D141" s="3" t="s">
        <v>135</v>
      </c>
      <c r="E141" s="3" t="s">
        <v>1066</v>
      </c>
      <c r="F141" s="3" t="s">
        <v>1067</v>
      </c>
      <c r="G141" s="3" t="s">
        <v>1068</v>
      </c>
      <c r="H141" s="3" t="s">
        <v>311</v>
      </c>
      <c r="I141" s="3" t="s">
        <v>128</v>
      </c>
      <c r="J141" s="3" t="s">
        <v>29</v>
      </c>
      <c r="K141" s="3" t="s">
        <v>61</v>
      </c>
      <c r="L141" s="3" t="s">
        <v>104</v>
      </c>
      <c r="M141" s="3" t="s">
        <v>32</v>
      </c>
      <c r="N141" s="3" t="s">
        <v>364</v>
      </c>
      <c r="O141" s="3" t="s">
        <v>65</v>
      </c>
      <c r="P141" s="3" t="s">
        <v>35</v>
      </c>
      <c r="Q141" s="3" t="s">
        <v>1069</v>
      </c>
      <c r="R141" s="3" t="s">
        <v>1070</v>
      </c>
      <c r="S141" s="3" t="s">
        <v>53</v>
      </c>
      <c r="T141" s="3" t="s">
        <v>39</v>
      </c>
    </row>
    <row r="142" spans="1:20" x14ac:dyDescent="0.3">
      <c r="A142" s="3" t="s">
        <v>1071</v>
      </c>
      <c r="B142" s="3" t="s">
        <v>340</v>
      </c>
      <c r="C142" s="3" t="s">
        <v>341</v>
      </c>
      <c r="D142" s="3" t="s">
        <v>135</v>
      </c>
      <c r="E142" s="3" t="s">
        <v>1072</v>
      </c>
      <c r="F142" s="3" t="s">
        <v>1073</v>
      </c>
      <c r="G142" s="3" t="s">
        <v>1074</v>
      </c>
      <c r="H142" s="3" t="s">
        <v>46</v>
      </c>
      <c r="I142" s="3" t="s">
        <v>102</v>
      </c>
      <c r="J142" s="3" t="s">
        <v>29</v>
      </c>
      <c r="K142" s="3" t="s">
        <v>30</v>
      </c>
      <c r="L142" s="3" t="s">
        <v>31</v>
      </c>
      <c r="M142" s="3" t="s">
        <v>63</v>
      </c>
      <c r="N142" s="3" t="s">
        <v>929</v>
      </c>
      <c r="O142" s="3" t="s">
        <v>92</v>
      </c>
      <c r="P142" s="3" t="s">
        <v>35</v>
      </c>
      <c r="Q142" s="3" t="s">
        <v>1075</v>
      </c>
      <c r="R142" s="3" t="s">
        <v>1076</v>
      </c>
      <c r="S142" s="3" t="s">
        <v>38</v>
      </c>
      <c r="T142" s="3" t="s">
        <v>80</v>
      </c>
    </row>
    <row r="143" spans="1:20" x14ac:dyDescent="0.3">
      <c r="A143" s="3" t="s">
        <v>1077</v>
      </c>
      <c r="B143" s="3" t="s">
        <v>240</v>
      </c>
      <c r="C143" s="3" t="s">
        <v>97</v>
      </c>
      <c r="D143" s="3" t="s">
        <v>241</v>
      </c>
      <c r="E143" s="3" t="s">
        <v>1078</v>
      </c>
      <c r="F143" s="3" t="s">
        <v>1079</v>
      </c>
      <c r="G143" s="3" t="s">
        <v>1080</v>
      </c>
      <c r="H143" s="3" t="s">
        <v>27</v>
      </c>
      <c r="I143" s="3" t="s">
        <v>88</v>
      </c>
      <c r="J143" s="3" t="s">
        <v>29</v>
      </c>
      <c r="K143" s="3" t="s">
        <v>146</v>
      </c>
      <c r="L143" s="3" t="s">
        <v>115</v>
      </c>
      <c r="M143" s="3" t="s">
        <v>32</v>
      </c>
      <c r="N143" s="3" t="s">
        <v>1081</v>
      </c>
      <c r="O143" s="3" t="s">
        <v>278</v>
      </c>
      <c r="P143" s="3" t="s">
        <v>119</v>
      </c>
      <c r="Q143" s="3" t="s">
        <v>1082</v>
      </c>
      <c r="R143" s="3" t="s">
        <v>1083</v>
      </c>
      <c r="S143" s="3" t="s">
        <v>53</v>
      </c>
      <c r="T143" s="3" t="s">
        <v>39</v>
      </c>
    </row>
    <row r="144" spans="1:20" x14ac:dyDescent="0.3">
      <c r="A144" s="3" t="s">
        <v>1084</v>
      </c>
      <c r="B144" s="3" t="s">
        <v>1085</v>
      </c>
      <c r="C144" s="3" t="s">
        <v>502</v>
      </c>
      <c r="D144" s="3" t="s">
        <v>98</v>
      </c>
      <c r="E144" s="3" t="s">
        <v>1086</v>
      </c>
      <c r="F144" s="3" t="s">
        <v>1087</v>
      </c>
      <c r="G144" s="3" t="s">
        <v>1088</v>
      </c>
      <c r="H144" s="3" t="s">
        <v>88</v>
      </c>
      <c r="I144" s="3" t="s">
        <v>102</v>
      </c>
      <c r="J144" s="3" t="s">
        <v>29</v>
      </c>
      <c r="K144" s="3" t="s">
        <v>146</v>
      </c>
      <c r="L144" s="3" t="s">
        <v>115</v>
      </c>
      <c r="M144" s="3" t="s">
        <v>63</v>
      </c>
      <c r="N144" s="3" t="s">
        <v>133</v>
      </c>
      <c r="O144" s="3" t="s">
        <v>65</v>
      </c>
      <c r="P144" s="3" t="s">
        <v>35</v>
      </c>
      <c r="Q144" s="3" t="s">
        <v>1089</v>
      </c>
      <c r="R144" s="3" t="s">
        <v>1090</v>
      </c>
      <c r="S144" s="3" t="s">
        <v>38</v>
      </c>
      <c r="T144" s="3" t="s">
        <v>80</v>
      </c>
    </row>
    <row r="145" spans="1:20" x14ac:dyDescent="0.3">
      <c r="A145" s="3" t="s">
        <v>1091</v>
      </c>
      <c r="B145" s="3" t="s">
        <v>1092</v>
      </c>
      <c r="C145" s="3" t="s">
        <v>180</v>
      </c>
      <c r="D145" s="3" t="s">
        <v>154</v>
      </c>
      <c r="E145" s="3" t="s">
        <v>1093</v>
      </c>
      <c r="F145" s="3" t="s">
        <v>1094</v>
      </c>
      <c r="G145" s="3" t="s">
        <v>1095</v>
      </c>
      <c r="H145" s="3" t="s">
        <v>46</v>
      </c>
      <c r="I145" s="3" t="s">
        <v>47</v>
      </c>
      <c r="J145" s="3" t="s">
        <v>29</v>
      </c>
      <c r="K145" s="3" t="s">
        <v>89</v>
      </c>
      <c r="L145" s="3" t="s">
        <v>115</v>
      </c>
      <c r="M145" s="3" t="s">
        <v>90</v>
      </c>
      <c r="N145" s="3" t="s">
        <v>96</v>
      </c>
      <c r="O145" s="3" t="s">
        <v>92</v>
      </c>
      <c r="P145" s="3" t="s">
        <v>35</v>
      </c>
      <c r="Q145" s="3" t="s">
        <v>1096</v>
      </c>
      <c r="R145" s="3" t="s">
        <v>1097</v>
      </c>
      <c r="S145" s="3" t="s">
        <v>53</v>
      </c>
      <c r="T145" s="3" t="s">
        <v>151</v>
      </c>
    </row>
    <row r="146" spans="1:20" x14ac:dyDescent="0.3">
      <c r="A146" s="3" t="s">
        <v>1098</v>
      </c>
      <c r="B146" s="3" t="s">
        <v>837</v>
      </c>
      <c r="C146" s="3" t="s">
        <v>350</v>
      </c>
      <c r="D146" s="3" t="s">
        <v>241</v>
      </c>
      <c r="E146" s="3" t="s">
        <v>1099</v>
      </c>
      <c r="F146" s="3" t="s">
        <v>1100</v>
      </c>
      <c r="G146" s="3" t="s">
        <v>1101</v>
      </c>
      <c r="H146" s="3" t="s">
        <v>46</v>
      </c>
      <c r="I146" s="3" t="s">
        <v>128</v>
      </c>
      <c r="J146" s="3" t="s">
        <v>29</v>
      </c>
      <c r="K146" s="3" t="s">
        <v>30</v>
      </c>
      <c r="L146" s="3" t="s">
        <v>48</v>
      </c>
      <c r="M146" s="3" t="s">
        <v>32</v>
      </c>
      <c r="N146" s="3" t="s">
        <v>567</v>
      </c>
      <c r="O146" s="3" t="s">
        <v>278</v>
      </c>
      <c r="P146" s="3" t="s">
        <v>119</v>
      </c>
      <c r="Q146" s="3" t="s">
        <v>1102</v>
      </c>
      <c r="R146" s="3" t="s">
        <v>1103</v>
      </c>
      <c r="S146" s="3" t="s">
        <v>38</v>
      </c>
      <c r="T146" s="3" t="s">
        <v>68</v>
      </c>
    </row>
    <row r="147" spans="1:20" x14ac:dyDescent="0.3">
      <c r="A147" s="3" t="s">
        <v>1104</v>
      </c>
      <c r="B147" s="3" t="s">
        <v>952</v>
      </c>
      <c r="C147" s="3" t="s">
        <v>97</v>
      </c>
      <c r="D147" s="3" t="s">
        <v>154</v>
      </c>
      <c r="E147" s="3" t="s">
        <v>1105</v>
      </c>
      <c r="F147" s="3" t="s">
        <v>1106</v>
      </c>
      <c r="G147" s="3" t="s">
        <v>1107</v>
      </c>
      <c r="H147" s="3" t="s">
        <v>27</v>
      </c>
      <c r="I147" s="3" t="s">
        <v>28</v>
      </c>
      <c r="J147" s="3" t="s">
        <v>29</v>
      </c>
      <c r="K147" s="3" t="s">
        <v>30</v>
      </c>
      <c r="L147" s="3" t="s">
        <v>48</v>
      </c>
      <c r="M147" s="3" t="s">
        <v>32</v>
      </c>
      <c r="N147" s="3" t="s">
        <v>547</v>
      </c>
      <c r="O147" s="3" t="s">
        <v>148</v>
      </c>
      <c r="P147" s="3" t="s">
        <v>35</v>
      </c>
      <c r="Q147" s="3" t="s">
        <v>1108</v>
      </c>
      <c r="R147" s="3" t="s">
        <v>1109</v>
      </c>
      <c r="S147" s="3" t="s">
        <v>38</v>
      </c>
      <c r="T147" s="3" t="s">
        <v>151</v>
      </c>
    </row>
    <row r="148" spans="1:20" x14ac:dyDescent="0.3">
      <c r="A148" s="3" t="s">
        <v>1110</v>
      </c>
      <c r="B148" s="3" t="s">
        <v>303</v>
      </c>
      <c r="C148" s="3" t="s">
        <v>341</v>
      </c>
      <c r="D148" s="3" t="s">
        <v>241</v>
      </c>
      <c r="E148" s="3" t="s">
        <v>1111</v>
      </c>
      <c r="F148" s="3" t="s">
        <v>1112</v>
      </c>
      <c r="G148" s="3" t="s">
        <v>1113</v>
      </c>
      <c r="H148" s="3" t="s">
        <v>76</v>
      </c>
      <c r="I148" s="3" t="s">
        <v>28</v>
      </c>
      <c r="J148" s="3" t="s">
        <v>29</v>
      </c>
      <c r="K148" s="3" t="s">
        <v>103</v>
      </c>
      <c r="L148" s="3" t="s">
        <v>115</v>
      </c>
      <c r="M148" s="3" t="s">
        <v>116</v>
      </c>
      <c r="N148" s="3" t="s">
        <v>633</v>
      </c>
      <c r="O148" s="3" t="s">
        <v>118</v>
      </c>
      <c r="P148" s="3" t="s">
        <v>119</v>
      </c>
      <c r="Q148" s="3" t="s">
        <v>1114</v>
      </c>
      <c r="R148" s="3" t="s">
        <v>1115</v>
      </c>
      <c r="S148" s="3" t="s">
        <v>38</v>
      </c>
      <c r="T148" s="3" t="s">
        <v>248</v>
      </c>
    </row>
    <row r="149" spans="1:20" x14ac:dyDescent="0.3">
      <c r="A149" s="3" t="s">
        <v>1116</v>
      </c>
      <c r="B149" s="3" t="s">
        <v>574</v>
      </c>
      <c r="C149" s="3" t="s">
        <v>258</v>
      </c>
      <c r="D149" s="3" t="s">
        <v>154</v>
      </c>
      <c r="E149" s="3" t="s">
        <v>1117</v>
      </c>
      <c r="F149" s="3" t="s">
        <v>1118</v>
      </c>
      <c r="G149" s="3" t="s">
        <v>1119</v>
      </c>
      <c r="H149" s="3" t="s">
        <v>76</v>
      </c>
      <c r="I149" s="3" t="s">
        <v>47</v>
      </c>
      <c r="J149" s="3" t="s">
        <v>29</v>
      </c>
      <c r="K149" s="3" t="s">
        <v>103</v>
      </c>
      <c r="L149" s="3" t="s">
        <v>31</v>
      </c>
      <c r="M149" s="3" t="s">
        <v>63</v>
      </c>
      <c r="N149" s="3" t="s">
        <v>620</v>
      </c>
      <c r="O149" s="3" t="s">
        <v>92</v>
      </c>
      <c r="P149" s="3" t="s">
        <v>35</v>
      </c>
      <c r="Q149" s="3" t="s">
        <v>1120</v>
      </c>
      <c r="R149" s="3" t="s">
        <v>1121</v>
      </c>
      <c r="S149" s="3" t="s">
        <v>38</v>
      </c>
      <c r="T149" s="3" t="s">
        <v>248</v>
      </c>
    </row>
    <row r="150" spans="1:20" x14ac:dyDescent="0.3">
      <c r="A150" s="3" t="s">
        <v>1122</v>
      </c>
      <c r="B150" s="3" t="s">
        <v>527</v>
      </c>
      <c r="C150" s="3" t="s">
        <v>22</v>
      </c>
      <c r="D150" s="3" t="s">
        <v>84</v>
      </c>
      <c r="E150" s="3" t="s">
        <v>1123</v>
      </c>
      <c r="F150" s="3" t="s">
        <v>1124</v>
      </c>
      <c r="G150" s="3" t="s">
        <v>1125</v>
      </c>
      <c r="H150" s="3" t="s">
        <v>311</v>
      </c>
      <c r="I150" s="3" t="s">
        <v>47</v>
      </c>
      <c r="J150" s="3" t="s">
        <v>29</v>
      </c>
      <c r="K150" s="3" t="s">
        <v>89</v>
      </c>
      <c r="L150" s="3" t="s">
        <v>31</v>
      </c>
      <c r="M150" s="3" t="s">
        <v>32</v>
      </c>
      <c r="N150" s="3" t="s">
        <v>1126</v>
      </c>
      <c r="O150" s="3" t="s">
        <v>34</v>
      </c>
      <c r="P150" s="3" t="s">
        <v>35</v>
      </c>
      <c r="Q150" s="3" t="s">
        <v>1127</v>
      </c>
      <c r="R150" s="3" t="s">
        <v>1128</v>
      </c>
      <c r="S150" s="3" t="s">
        <v>38</v>
      </c>
      <c r="T150" s="3" t="s">
        <v>68</v>
      </c>
    </row>
    <row r="151" spans="1:20" x14ac:dyDescent="0.3">
      <c r="A151" s="3" t="s">
        <v>1129</v>
      </c>
      <c r="B151" s="3" t="s">
        <v>269</v>
      </c>
      <c r="C151" s="3" t="s">
        <v>134</v>
      </c>
      <c r="D151" s="3" t="s">
        <v>189</v>
      </c>
      <c r="E151" s="3" t="s">
        <v>1130</v>
      </c>
      <c r="F151" s="3" t="s">
        <v>1131</v>
      </c>
      <c r="G151" s="3" t="s">
        <v>1132</v>
      </c>
      <c r="H151" s="3" t="s">
        <v>76</v>
      </c>
      <c r="I151" s="3" t="s">
        <v>88</v>
      </c>
      <c r="J151" s="3" t="s">
        <v>29</v>
      </c>
      <c r="K151" s="3" t="s">
        <v>61</v>
      </c>
      <c r="L151" s="3" t="s">
        <v>115</v>
      </c>
      <c r="M151" s="3" t="s">
        <v>32</v>
      </c>
      <c r="N151" s="3" t="s">
        <v>375</v>
      </c>
      <c r="O151" s="3" t="s">
        <v>92</v>
      </c>
      <c r="P151" s="3" t="s">
        <v>35</v>
      </c>
      <c r="Q151" s="3" t="s">
        <v>1133</v>
      </c>
      <c r="R151" s="3" t="s">
        <v>1134</v>
      </c>
      <c r="S151" s="3" t="s">
        <v>38</v>
      </c>
      <c r="T151" s="3" t="s">
        <v>186</v>
      </c>
    </row>
    <row r="152" spans="1:20" x14ac:dyDescent="0.3">
      <c r="A152" s="3" t="s">
        <v>1135</v>
      </c>
      <c r="B152" s="3" t="s">
        <v>188</v>
      </c>
      <c r="C152" s="3" t="s">
        <v>22</v>
      </c>
      <c r="D152" s="3" t="s">
        <v>189</v>
      </c>
      <c r="E152" s="3" t="s">
        <v>1136</v>
      </c>
      <c r="F152" s="3" t="s">
        <v>1137</v>
      </c>
      <c r="G152" s="3" t="s">
        <v>1138</v>
      </c>
      <c r="H152" s="3" t="s">
        <v>158</v>
      </c>
      <c r="I152" s="3" t="s">
        <v>28</v>
      </c>
      <c r="J152" s="3" t="s">
        <v>29</v>
      </c>
      <c r="K152" s="3" t="s">
        <v>146</v>
      </c>
      <c r="L152" s="3" t="s">
        <v>31</v>
      </c>
      <c r="M152" s="3" t="s">
        <v>32</v>
      </c>
      <c r="N152" s="3" t="s">
        <v>467</v>
      </c>
      <c r="O152" s="3" t="s">
        <v>278</v>
      </c>
      <c r="P152" s="3" t="s">
        <v>119</v>
      </c>
      <c r="Q152" s="3" t="s">
        <v>1139</v>
      </c>
      <c r="R152" s="3" t="s">
        <v>1140</v>
      </c>
      <c r="S152" s="3" t="s">
        <v>53</v>
      </c>
      <c r="T152" s="3" t="s">
        <v>186</v>
      </c>
    </row>
    <row r="153" spans="1:20" x14ac:dyDescent="0.3">
      <c r="A153" s="3" t="s">
        <v>1141</v>
      </c>
      <c r="B153" s="3" t="s">
        <v>211</v>
      </c>
      <c r="C153" s="3" t="s">
        <v>42</v>
      </c>
      <c r="D153" s="3" t="s">
        <v>154</v>
      </c>
      <c r="E153" s="3" t="s">
        <v>1142</v>
      </c>
      <c r="F153" s="3" t="s">
        <v>1143</v>
      </c>
      <c r="G153" s="3" t="s">
        <v>1144</v>
      </c>
      <c r="H153" s="3" t="s">
        <v>60</v>
      </c>
      <c r="I153" s="3" t="s">
        <v>245</v>
      </c>
      <c r="J153" s="3" t="s">
        <v>29</v>
      </c>
      <c r="K153" s="3" t="s">
        <v>30</v>
      </c>
      <c r="L153" s="3" t="s">
        <v>104</v>
      </c>
      <c r="M153" s="3" t="s">
        <v>63</v>
      </c>
      <c r="N153" s="3" t="s">
        <v>250</v>
      </c>
      <c r="O153" s="3" t="s">
        <v>118</v>
      </c>
      <c r="P153" s="3" t="s">
        <v>119</v>
      </c>
      <c r="Q153" s="3" t="s">
        <v>1145</v>
      </c>
      <c r="R153" s="3" t="s">
        <v>1146</v>
      </c>
      <c r="S153" s="3" t="s">
        <v>53</v>
      </c>
      <c r="T153" s="3" t="s">
        <v>39</v>
      </c>
    </row>
    <row r="154" spans="1:20" x14ac:dyDescent="0.3">
      <c r="A154" s="3" t="s">
        <v>1147</v>
      </c>
      <c r="B154" s="3" t="s">
        <v>198</v>
      </c>
      <c r="C154" s="3" t="s">
        <v>199</v>
      </c>
      <c r="D154" s="3" t="s">
        <v>84</v>
      </c>
      <c r="E154" s="3" t="s">
        <v>1148</v>
      </c>
      <c r="F154" s="3" t="s">
        <v>1149</v>
      </c>
      <c r="G154" s="3" t="s">
        <v>1150</v>
      </c>
      <c r="H154" s="3" t="s">
        <v>46</v>
      </c>
      <c r="I154" s="3" t="s">
        <v>28</v>
      </c>
      <c r="J154" s="3" t="s">
        <v>29</v>
      </c>
      <c r="K154" s="3" t="s">
        <v>89</v>
      </c>
      <c r="L154" s="3" t="s">
        <v>62</v>
      </c>
      <c r="M154" s="3" t="s">
        <v>90</v>
      </c>
      <c r="N154" s="3" t="s">
        <v>1151</v>
      </c>
      <c r="O154" s="3" t="s">
        <v>34</v>
      </c>
      <c r="P154" s="3" t="s">
        <v>35</v>
      </c>
      <c r="Q154" s="3" t="s">
        <v>1152</v>
      </c>
      <c r="R154" s="3" t="s">
        <v>1153</v>
      </c>
      <c r="S154" s="3" t="s">
        <v>38</v>
      </c>
      <c r="T154" s="3" t="s">
        <v>248</v>
      </c>
    </row>
    <row r="155" spans="1:20" x14ac:dyDescent="0.3">
      <c r="A155" s="3" t="s">
        <v>1154</v>
      </c>
      <c r="B155" s="3" t="s">
        <v>844</v>
      </c>
      <c r="C155" s="3" t="s">
        <v>258</v>
      </c>
      <c r="D155" s="3" t="s">
        <v>124</v>
      </c>
      <c r="E155" s="3" t="s">
        <v>1155</v>
      </c>
      <c r="F155" s="3" t="s">
        <v>1156</v>
      </c>
      <c r="G155" s="3" t="s">
        <v>1157</v>
      </c>
      <c r="H155" s="3" t="s">
        <v>76</v>
      </c>
      <c r="I155" s="3" t="s">
        <v>114</v>
      </c>
      <c r="J155" s="3" t="s">
        <v>29</v>
      </c>
      <c r="K155" s="3" t="s">
        <v>89</v>
      </c>
      <c r="L155" s="3" t="s">
        <v>115</v>
      </c>
      <c r="M155" s="3" t="s">
        <v>90</v>
      </c>
      <c r="N155" s="3" t="s">
        <v>1158</v>
      </c>
      <c r="O155" s="3" t="s">
        <v>148</v>
      </c>
      <c r="P155" s="3" t="s">
        <v>35</v>
      </c>
      <c r="Q155" s="3" t="s">
        <v>1159</v>
      </c>
      <c r="R155" s="3" t="s">
        <v>1160</v>
      </c>
      <c r="S155" s="3" t="s">
        <v>53</v>
      </c>
      <c r="T155" s="3" t="s">
        <v>186</v>
      </c>
    </row>
    <row r="156" spans="1:20" x14ac:dyDescent="0.3">
      <c r="A156" s="3" t="s">
        <v>1161</v>
      </c>
      <c r="B156" s="3" t="s">
        <v>911</v>
      </c>
      <c r="C156" s="3" t="s">
        <v>502</v>
      </c>
      <c r="D156" s="3" t="s">
        <v>189</v>
      </c>
      <c r="E156" s="3" t="s">
        <v>1162</v>
      </c>
      <c r="F156" s="3" t="s">
        <v>1163</v>
      </c>
      <c r="G156" s="3" t="s">
        <v>1164</v>
      </c>
      <c r="H156" s="3" t="s">
        <v>158</v>
      </c>
      <c r="I156" s="3" t="s">
        <v>88</v>
      </c>
      <c r="J156" s="3" t="s">
        <v>29</v>
      </c>
      <c r="K156" s="3" t="s">
        <v>30</v>
      </c>
      <c r="L156" s="3" t="s">
        <v>104</v>
      </c>
      <c r="M156" s="3" t="s">
        <v>116</v>
      </c>
      <c r="N156" s="3" t="s">
        <v>921</v>
      </c>
      <c r="O156" s="3" t="s">
        <v>118</v>
      </c>
      <c r="P156" s="3" t="s">
        <v>119</v>
      </c>
      <c r="Q156" s="3" t="s">
        <v>1165</v>
      </c>
      <c r="R156" s="3" t="s">
        <v>1166</v>
      </c>
      <c r="S156" s="3" t="s">
        <v>38</v>
      </c>
      <c r="T156" s="3" t="s">
        <v>248</v>
      </c>
    </row>
    <row r="157" spans="1:20" x14ac:dyDescent="0.3">
      <c r="A157" s="3" t="s">
        <v>1167</v>
      </c>
      <c r="B157" s="3" t="s">
        <v>813</v>
      </c>
      <c r="C157" s="3" t="s">
        <v>134</v>
      </c>
      <c r="D157" s="3" t="s">
        <v>154</v>
      </c>
      <c r="E157" s="3" t="s">
        <v>1168</v>
      </c>
      <c r="F157" s="3" t="s">
        <v>1169</v>
      </c>
      <c r="G157" s="3" t="s">
        <v>1170</v>
      </c>
      <c r="H157" s="3" t="s">
        <v>27</v>
      </c>
      <c r="I157" s="3" t="s">
        <v>28</v>
      </c>
      <c r="J157" s="3" t="s">
        <v>29</v>
      </c>
      <c r="K157" s="3" t="s">
        <v>89</v>
      </c>
      <c r="L157" s="3" t="s">
        <v>115</v>
      </c>
      <c r="M157" s="3" t="s">
        <v>116</v>
      </c>
      <c r="N157" s="3" t="s">
        <v>368</v>
      </c>
      <c r="O157" s="3" t="s">
        <v>148</v>
      </c>
      <c r="P157" s="3" t="s">
        <v>35</v>
      </c>
      <c r="Q157" s="3" t="s">
        <v>1171</v>
      </c>
      <c r="R157" s="3" t="s">
        <v>1172</v>
      </c>
      <c r="S157" s="3" t="s">
        <v>38</v>
      </c>
      <c r="T157" s="3" t="s">
        <v>68</v>
      </c>
    </row>
    <row r="158" spans="1:20" x14ac:dyDescent="0.3">
      <c r="A158" s="3" t="s">
        <v>1173</v>
      </c>
      <c r="B158" s="3" t="s">
        <v>312</v>
      </c>
      <c r="C158" s="3" t="s">
        <v>283</v>
      </c>
      <c r="D158" s="3" t="s">
        <v>23</v>
      </c>
      <c r="E158" s="3" t="s">
        <v>1174</v>
      </c>
      <c r="F158" s="3" t="s">
        <v>1175</v>
      </c>
      <c r="G158" s="3" t="s">
        <v>1176</v>
      </c>
      <c r="H158" s="3" t="s">
        <v>158</v>
      </c>
      <c r="I158" s="3" t="s">
        <v>114</v>
      </c>
      <c r="J158" s="3" t="s">
        <v>29</v>
      </c>
      <c r="K158" s="3" t="s">
        <v>89</v>
      </c>
      <c r="L158" s="3" t="s">
        <v>115</v>
      </c>
      <c r="M158" s="3" t="s">
        <v>63</v>
      </c>
      <c r="N158" s="3" t="s">
        <v>386</v>
      </c>
      <c r="O158" s="3" t="s">
        <v>50</v>
      </c>
      <c r="P158" s="3" t="s">
        <v>35</v>
      </c>
      <c r="Q158" s="3" t="s">
        <v>1177</v>
      </c>
      <c r="R158" s="3" t="s">
        <v>1178</v>
      </c>
      <c r="S158" s="3" t="s">
        <v>38</v>
      </c>
      <c r="T158" s="3" t="s">
        <v>80</v>
      </c>
    </row>
    <row r="159" spans="1:20" x14ac:dyDescent="0.3">
      <c r="A159" s="3" t="s">
        <v>1179</v>
      </c>
      <c r="B159" s="3" t="s">
        <v>295</v>
      </c>
      <c r="C159" s="3" t="s">
        <v>199</v>
      </c>
      <c r="D159" s="3" t="s">
        <v>189</v>
      </c>
      <c r="E159" s="3" t="s">
        <v>1180</v>
      </c>
      <c r="F159" s="3" t="s">
        <v>1181</v>
      </c>
      <c r="G159" s="3" t="s">
        <v>1182</v>
      </c>
      <c r="H159" s="3" t="s">
        <v>60</v>
      </c>
      <c r="I159" s="3" t="s">
        <v>114</v>
      </c>
      <c r="J159" s="3" t="s">
        <v>29</v>
      </c>
      <c r="K159" s="3" t="s">
        <v>103</v>
      </c>
      <c r="L159" s="3" t="s">
        <v>62</v>
      </c>
      <c r="M159" s="3" t="s">
        <v>32</v>
      </c>
      <c r="N159" s="3" t="s">
        <v>316</v>
      </c>
      <c r="O159" s="3" t="s">
        <v>34</v>
      </c>
      <c r="P159" s="3" t="s">
        <v>35</v>
      </c>
      <c r="Q159" s="3" t="s">
        <v>1183</v>
      </c>
      <c r="R159" s="3" t="s">
        <v>1184</v>
      </c>
      <c r="S159" s="3" t="s">
        <v>53</v>
      </c>
      <c r="T159" s="3" t="s">
        <v>186</v>
      </c>
    </row>
    <row r="160" spans="1:20" x14ac:dyDescent="0.3">
      <c r="A160" s="3" t="s">
        <v>1185</v>
      </c>
      <c r="B160" s="3" t="s">
        <v>250</v>
      </c>
      <c r="C160" s="3" t="s">
        <v>216</v>
      </c>
      <c r="D160" s="3" t="s">
        <v>23</v>
      </c>
      <c r="E160" s="3" t="s">
        <v>1186</v>
      </c>
      <c r="F160" s="3" t="s">
        <v>1187</v>
      </c>
      <c r="G160" s="3" t="s">
        <v>1188</v>
      </c>
      <c r="H160" s="3" t="s">
        <v>158</v>
      </c>
      <c r="I160" s="3" t="s">
        <v>114</v>
      </c>
      <c r="J160" s="3" t="s">
        <v>29</v>
      </c>
      <c r="K160" s="3" t="s">
        <v>146</v>
      </c>
      <c r="L160" s="3" t="s">
        <v>48</v>
      </c>
      <c r="M160" s="3" t="s">
        <v>90</v>
      </c>
      <c r="N160" s="3" t="s">
        <v>1126</v>
      </c>
      <c r="O160" s="3" t="s">
        <v>65</v>
      </c>
      <c r="P160" s="3" t="s">
        <v>35</v>
      </c>
      <c r="Q160" s="3" t="s">
        <v>1189</v>
      </c>
      <c r="R160" s="3" t="s">
        <v>1190</v>
      </c>
      <c r="S160" s="3" t="s">
        <v>53</v>
      </c>
      <c r="T160" s="3" t="s">
        <v>39</v>
      </c>
    </row>
    <row r="161" spans="1:20" x14ac:dyDescent="0.3">
      <c r="A161" s="3" t="s">
        <v>1191</v>
      </c>
      <c r="B161" s="3" t="s">
        <v>475</v>
      </c>
      <c r="C161" s="3" t="s">
        <v>216</v>
      </c>
      <c r="D161" s="3" t="s">
        <v>98</v>
      </c>
      <c r="E161" s="3" t="s">
        <v>1192</v>
      </c>
      <c r="F161" s="3" t="s">
        <v>1193</v>
      </c>
      <c r="G161" s="3" t="s">
        <v>1194</v>
      </c>
      <c r="H161" s="3" t="s">
        <v>88</v>
      </c>
      <c r="I161" s="3" t="s">
        <v>245</v>
      </c>
      <c r="J161" s="3" t="s">
        <v>29</v>
      </c>
      <c r="K161" s="3" t="s">
        <v>89</v>
      </c>
      <c r="L161" s="3" t="s">
        <v>48</v>
      </c>
      <c r="M161" s="3" t="s">
        <v>63</v>
      </c>
      <c r="N161" s="3" t="s">
        <v>221</v>
      </c>
      <c r="O161" s="3" t="s">
        <v>50</v>
      </c>
      <c r="P161" s="3" t="s">
        <v>35</v>
      </c>
      <c r="Q161" s="3" t="s">
        <v>1195</v>
      </c>
      <c r="R161" s="3" t="s">
        <v>1196</v>
      </c>
      <c r="S161" s="3" t="s">
        <v>53</v>
      </c>
      <c r="T161" s="3" t="s">
        <v>39</v>
      </c>
    </row>
    <row r="162" spans="1:20" x14ac:dyDescent="0.3">
      <c r="A162" s="3" t="s">
        <v>1197</v>
      </c>
      <c r="B162" s="3" t="s">
        <v>1039</v>
      </c>
      <c r="C162" s="3" t="s">
        <v>199</v>
      </c>
      <c r="D162" s="3" t="s">
        <v>124</v>
      </c>
      <c r="E162" s="3" t="s">
        <v>1198</v>
      </c>
      <c r="F162" s="3" t="s">
        <v>1199</v>
      </c>
      <c r="G162" s="3" t="s">
        <v>1200</v>
      </c>
      <c r="H162" s="3" t="s">
        <v>193</v>
      </c>
      <c r="I162" s="3" t="s">
        <v>47</v>
      </c>
      <c r="J162" s="3" t="s">
        <v>29</v>
      </c>
      <c r="K162" s="3" t="s">
        <v>30</v>
      </c>
      <c r="L162" s="3" t="s">
        <v>48</v>
      </c>
      <c r="M162" s="3" t="s">
        <v>63</v>
      </c>
      <c r="N162" s="3" t="s">
        <v>179</v>
      </c>
      <c r="O162" s="3" t="s">
        <v>34</v>
      </c>
      <c r="P162" s="3" t="s">
        <v>35</v>
      </c>
      <c r="Q162" s="3" t="s">
        <v>1201</v>
      </c>
      <c r="R162" s="3" t="s">
        <v>1202</v>
      </c>
      <c r="S162" s="3" t="s">
        <v>53</v>
      </c>
      <c r="T162" s="3" t="s">
        <v>248</v>
      </c>
    </row>
    <row r="163" spans="1:20" x14ac:dyDescent="0.3">
      <c r="A163" s="3" t="s">
        <v>1203</v>
      </c>
      <c r="B163" s="3" t="s">
        <v>41</v>
      </c>
      <c r="C163" s="3" t="s">
        <v>42</v>
      </c>
      <c r="D163" s="3" t="s">
        <v>23</v>
      </c>
      <c r="E163" s="3" t="s">
        <v>1204</v>
      </c>
      <c r="F163" s="3" t="s">
        <v>1205</v>
      </c>
      <c r="G163" s="3" t="s">
        <v>1206</v>
      </c>
      <c r="H163" s="3" t="s">
        <v>311</v>
      </c>
      <c r="I163" s="3" t="s">
        <v>88</v>
      </c>
      <c r="J163" s="3" t="s">
        <v>29</v>
      </c>
      <c r="K163" s="3" t="s">
        <v>89</v>
      </c>
      <c r="L163" s="3" t="s">
        <v>104</v>
      </c>
      <c r="M163" s="3" t="s">
        <v>116</v>
      </c>
      <c r="N163" s="3" t="s">
        <v>1207</v>
      </c>
      <c r="O163" s="3" t="s">
        <v>278</v>
      </c>
      <c r="P163" s="3" t="s">
        <v>119</v>
      </c>
      <c r="Q163" s="3" t="s">
        <v>1208</v>
      </c>
      <c r="R163" s="3" t="s">
        <v>1209</v>
      </c>
      <c r="S163" s="3" t="s">
        <v>53</v>
      </c>
      <c r="T163" s="3" t="s">
        <v>248</v>
      </c>
    </row>
    <row r="164" spans="1:20" x14ac:dyDescent="0.3">
      <c r="A164" s="3" t="s">
        <v>1210</v>
      </c>
      <c r="B164" s="3" t="s">
        <v>1211</v>
      </c>
      <c r="C164" s="3" t="s">
        <v>502</v>
      </c>
      <c r="D164" s="3" t="s">
        <v>84</v>
      </c>
      <c r="E164" s="3" t="s">
        <v>1212</v>
      </c>
      <c r="F164" s="3" t="s">
        <v>1213</v>
      </c>
      <c r="G164" s="3" t="s">
        <v>1214</v>
      </c>
      <c r="H164" s="3" t="s">
        <v>60</v>
      </c>
      <c r="I164" s="3" t="s">
        <v>102</v>
      </c>
      <c r="J164" s="3" t="s">
        <v>29</v>
      </c>
      <c r="K164" s="3" t="s">
        <v>61</v>
      </c>
      <c r="L164" s="3" t="s">
        <v>48</v>
      </c>
      <c r="M164" s="3" t="s">
        <v>32</v>
      </c>
      <c r="N164" s="3" t="s">
        <v>91</v>
      </c>
      <c r="O164" s="3" t="s">
        <v>92</v>
      </c>
      <c r="P164" s="3" t="s">
        <v>35</v>
      </c>
      <c r="Q164" s="3" t="s">
        <v>1215</v>
      </c>
      <c r="R164" s="3" t="s">
        <v>1216</v>
      </c>
      <c r="S164" s="3" t="s">
        <v>53</v>
      </c>
      <c r="T164" s="3" t="s">
        <v>186</v>
      </c>
    </row>
    <row r="165" spans="1:20" x14ac:dyDescent="0.3">
      <c r="A165" s="3" t="s">
        <v>1217</v>
      </c>
      <c r="B165" s="3" t="s">
        <v>324</v>
      </c>
      <c r="C165" s="3" t="s">
        <v>325</v>
      </c>
      <c r="D165" s="3" t="s">
        <v>84</v>
      </c>
      <c r="E165" s="3" t="s">
        <v>1218</v>
      </c>
      <c r="F165" s="3" t="s">
        <v>1219</v>
      </c>
      <c r="G165" s="3" t="s">
        <v>1220</v>
      </c>
      <c r="H165" s="3" t="s">
        <v>76</v>
      </c>
      <c r="I165" s="3" t="s">
        <v>114</v>
      </c>
      <c r="J165" s="3" t="s">
        <v>29</v>
      </c>
      <c r="K165" s="3" t="s">
        <v>103</v>
      </c>
      <c r="L165" s="3" t="s">
        <v>62</v>
      </c>
      <c r="M165" s="3" t="s">
        <v>32</v>
      </c>
      <c r="N165" s="3" t="s">
        <v>221</v>
      </c>
      <c r="O165" s="3" t="s">
        <v>148</v>
      </c>
      <c r="P165" s="3" t="s">
        <v>35</v>
      </c>
      <c r="Q165" s="3" t="s">
        <v>1221</v>
      </c>
      <c r="R165" s="3" t="s">
        <v>1222</v>
      </c>
      <c r="S165" s="3" t="s">
        <v>53</v>
      </c>
      <c r="T165" s="3" t="s">
        <v>68</v>
      </c>
    </row>
    <row r="166" spans="1:20" x14ac:dyDescent="0.3">
      <c r="A166" s="3" t="s">
        <v>1223</v>
      </c>
      <c r="B166" s="3" t="s">
        <v>96</v>
      </c>
      <c r="C166" s="3" t="s">
        <v>97</v>
      </c>
      <c r="D166" s="3" t="s">
        <v>98</v>
      </c>
      <c r="E166" s="3" t="s">
        <v>1224</v>
      </c>
      <c r="F166" s="3" t="s">
        <v>1225</v>
      </c>
      <c r="G166" s="3" t="s">
        <v>1226</v>
      </c>
      <c r="H166" s="3" t="s">
        <v>27</v>
      </c>
      <c r="I166" s="3" t="s">
        <v>102</v>
      </c>
      <c r="J166" s="3" t="s">
        <v>29</v>
      </c>
      <c r="K166" s="3" t="s">
        <v>30</v>
      </c>
      <c r="L166" s="3" t="s">
        <v>62</v>
      </c>
      <c r="M166" s="3" t="s">
        <v>32</v>
      </c>
      <c r="N166" s="3" t="s">
        <v>333</v>
      </c>
      <c r="O166" s="3" t="s">
        <v>106</v>
      </c>
      <c r="P166" s="3" t="s">
        <v>107</v>
      </c>
      <c r="Q166" s="3" t="s">
        <v>1227</v>
      </c>
      <c r="R166" s="3" t="s">
        <v>1228</v>
      </c>
      <c r="S166" s="3" t="s">
        <v>38</v>
      </c>
      <c r="T166" s="3" t="s">
        <v>248</v>
      </c>
    </row>
    <row r="167" spans="1:20" x14ac:dyDescent="0.3">
      <c r="A167" s="3" t="s">
        <v>1229</v>
      </c>
      <c r="B167" s="3" t="s">
        <v>1056</v>
      </c>
      <c r="C167" s="3" t="s">
        <v>283</v>
      </c>
      <c r="D167" s="3" t="s">
        <v>84</v>
      </c>
      <c r="E167" s="3" t="s">
        <v>1230</v>
      </c>
      <c r="F167" s="3" t="s">
        <v>1231</v>
      </c>
      <c r="G167" s="3" t="s">
        <v>1232</v>
      </c>
      <c r="H167" s="3" t="s">
        <v>60</v>
      </c>
      <c r="I167" s="3" t="s">
        <v>245</v>
      </c>
      <c r="J167" s="3" t="s">
        <v>29</v>
      </c>
      <c r="K167" s="3" t="s">
        <v>146</v>
      </c>
      <c r="L167" s="3" t="s">
        <v>62</v>
      </c>
      <c r="M167" s="3" t="s">
        <v>90</v>
      </c>
      <c r="N167" s="3" t="s">
        <v>55</v>
      </c>
      <c r="O167" s="3" t="s">
        <v>65</v>
      </c>
      <c r="P167" s="3" t="s">
        <v>35</v>
      </c>
      <c r="Q167" s="3" t="s">
        <v>1233</v>
      </c>
      <c r="R167" s="3" t="s">
        <v>1234</v>
      </c>
      <c r="S167" s="3" t="s">
        <v>38</v>
      </c>
      <c r="T167" s="3" t="s">
        <v>248</v>
      </c>
    </row>
    <row r="168" spans="1:20" x14ac:dyDescent="0.3">
      <c r="A168" s="3" t="s">
        <v>1235</v>
      </c>
      <c r="B168" s="3" t="s">
        <v>759</v>
      </c>
      <c r="C168" s="3" t="s">
        <v>216</v>
      </c>
      <c r="D168" s="3" t="s">
        <v>241</v>
      </c>
      <c r="E168" s="3" t="s">
        <v>1236</v>
      </c>
      <c r="F168" s="3" t="s">
        <v>1237</v>
      </c>
      <c r="G168" s="3" t="s">
        <v>1238</v>
      </c>
      <c r="H168" s="3" t="s">
        <v>27</v>
      </c>
      <c r="I168" s="3" t="s">
        <v>128</v>
      </c>
      <c r="J168" s="3" t="s">
        <v>29</v>
      </c>
      <c r="K168" s="3" t="s">
        <v>103</v>
      </c>
      <c r="L168" s="3" t="s">
        <v>62</v>
      </c>
      <c r="M168" s="3" t="s">
        <v>32</v>
      </c>
      <c r="N168" s="3" t="s">
        <v>105</v>
      </c>
      <c r="O168" s="3" t="s">
        <v>148</v>
      </c>
      <c r="P168" s="3" t="s">
        <v>35</v>
      </c>
      <c r="Q168" s="3" t="s">
        <v>1239</v>
      </c>
      <c r="R168" s="3" t="s">
        <v>1240</v>
      </c>
      <c r="S168" s="3" t="s">
        <v>38</v>
      </c>
      <c r="T168" s="3" t="s">
        <v>151</v>
      </c>
    </row>
    <row r="169" spans="1:20" x14ac:dyDescent="0.3">
      <c r="A169" s="3" t="s">
        <v>1241</v>
      </c>
      <c r="B169" s="3" t="s">
        <v>613</v>
      </c>
      <c r="C169" s="3" t="s">
        <v>199</v>
      </c>
      <c r="D169" s="3" t="s">
        <v>72</v>
      </c>
      <c r="E169" s="3" t="s">
        <v>1242</v>
      </c>
      <c r="F169" s="3" t="s">
        <v>1243</v>
      </c>
      <c r="G169" s="3" t="s">
        <v>1244</v>
      </c>
      <c r="H169" s="3" t="s">
        <v>76</v>
      </c>
      <c r="I169" s="3" t="s">
        <v>128</v>
      </c>
      <c r="J169" s="3" t="s">
        <v>29</v>
      </c>
      <c r="K169" s="3" t="s">
        <v>146</v>
      </c>
      <c r="L169" s="3" t="s">
        <v>62</v>
      </c>
      <c r="M169" s="3" t="s">
        <v>63</v>
      </c>
      <c r="N169" s="3" t="s">
        <v>175</v>
      </c>
      <c r="O169" s="3" t="s">
        <v>278</v>
      </c>
      <c r="P169" s="3" t="s">
        <v>119</v>
      </c>
      <c r="Q169" s="3" t="s">
        <v>1245</v>
      </c>
      <c r="R169" s="3" t="s">
        <v>1246</v>
      </c>
      <c r="S169" s="3" t="s">
        <v>38</v>
      </c>
      <c r="T169" s="3" t="s">
        <v>39</v>
      </c>
    </row>
    <row r="170" spans="1:20" x14ac:dyDescent="0.3">
      <c r="A170" s="3" t="s">
        <v>1247</v>
      </c>
      <c r="B170" s="3" t="s">
        <v>1151</v>
      </c>
      <c r="C170" s="3" t="s">
        <v>97</v>
      </c>
      <c r="D170" s="3" t="s">
        <v>164</v>
      </c>
      <c r="E170" s="3" t="s">
        <v>1248</v>
      </c>
      <c r="F170" s="3" t="s">
        <v>1249</v>
      </c>
      <c r="G170" s="3" t="s">
        <v>1250</v>
      </c>
      <c r="H170" s="3" t="s">
        <v>27</v>
      </c>
      <c r="I170" s="3" t="s">
        <v>47</v>
      </c>
      <c r="J170" s="3" t="s">
        <v>29</v>
      </c>
      <c r="K170" s="3" t="s">
        <v>103</v>
      </c>
      <c r="L170" s="3" t="s">
        <v>31</v>
      </c>
      <c r="M170" s="3" t="s">
        <v>63</v>
      </c>
      <c r="N170" s="3" t="s">
        <v>345</v>
      </c>
      <c r="O170" s="3" t="s">
        <v>106</v>
      </c>
      <c r="P170" s="3" t="s">
        <v>107</v>
      </c>
      <c r="Q170" s="3" t="s">
        <v>1251</v>
      </c>
      <c r="R170" s="3" t="s">
        <v>1252</v>
      </c>
      <c r="S170" s="3" t="s">
        <v>38</v>
      </c>
      <c r="T170" s="3" t="s">
        <v>80</v>
      </c>
    </row>
    <row r="171" spans="1:20" x14ac:dyDescent="0.3">
      <c r="A171" s="3" t="s">
        <v>1253</v>
      </c>
      <c r="B171" s="3" t="s">
        <v>726</v>
      </c>
      <c r="C171" s="3" t="s">
        <v>97</v>
      </c>
      <c r="D171" s="3" t="s">
        <v>124</v>
      </c>
      <c r="E171" s="3" t="s">
        <v>1254</v>
      </c>
      <c r="F171" s="3" t="s">
        <v>1255</v>
      </c>
      <c r="G171" s="3" t="s">
        <v>1256</v>
      </c>
      <c r="H171" s="3" t="s">
        <v>311</v>
      </c>
      <c r="I171" s="3" t="s">
        <v>128</v>
      </c>
      <c r="J171" s="3" t="s">
        <v>29</v>
      </c>
      <c r="K171" s="3" t="s">
        <v>61</v>
      </c>
      <c r="L171" s="3" t="s">
        <v>31</v>
      </c>
      <c r="M171" s="3" t="s">
        <v>63</v>
      </c>
      <c r="N171" s="3" t="s">
        <v>652</v>
      </c>
      <c r="O171" s="3" t="s">
        <v>278</v>
      </c>
      <c r="P171" s="3" t="s">
        <v>119</v>
      </c>
      <c r="Q171" s="3" t="s">
        <v>1257</v>
      </c>
      <c r="R171" s="3" t="s">
        <v>1258</v>
      </c>
      <c r="S171" s="3" t="s">
        <v>38</v>
      </c>
      <c r="T171" s="3" t="s">
        <v>151</v>
      </c>
    </row>
    <row r="172" spans="1:20" x14ac:dyDescent="0.3">
      <c r="A172" s="3" t="s">
        <v>1259</v>
      </c>
      <c r="B172" s="3" t="s">
        <v>329</v>
      </c>
      <c r="C172" s="3" t="s">
        <v>350</v>
      </c>
      <c r="D172" s="3" t="s">
        <v>72</v>
      </c>
      <c r="E172" s="3" t="s">
        <v>1260</v>
      </c>
      <c r="F172" s="3" t="s">
        <v>1261</v>
      </c>
      <c r="G172" s="3" t="s">
        <v>1262</v>
      </c>
      <c r="H172" s="3" t="s">
        <v>311</v>
      </c>
      <c r="I172" s="3" t="s">
        <v>28</v>
      </c>
      <c r="J172" s="3" t="s">
        <v>29</v>
      </c>
      <c r="K172" s="3" t="s">
        <v>146</v>
      </c>
      <c r="L172" s="3" t="s">
        <v>31</v>
      </c>
      <c r="M172" s="3" t="s">
        <v>116</v>
      </c>
      <c r="N172" s="3" t="s">
        <v>554</v>
      </c>
      <c r="O172" s="3" t="s">
        <v>92</v>
      </c>
      <c r="P172" s="3" t="s">
        <v>35</v>
      </c>
      <c r="Q172" s="3" t="s">
        <v>1263</v>
      </c>
      <c r="R172" s="3" t="s">
        <v>1264</v>
      </c>
      <c r="S172" s="3" t="s">
        <v>53</v>
      </c>
      <c r="T172" s="3" t="s">
        <v>186</v>
      </c>
    </row>
    <row r="173" spans="1:20" x14ac:dyDescent="0.3">
      <c r="A173" s="3" t="s">
        <v>1265</v>
      </c>
      <c r="B173" s="3" t="s">
        <v>329</v>
      </c>
      <c r="C173" s="3" t="s">
        <v>350</v>
      </c>
      <c r="D173" s="3" t="s">
        <v>72</v>
      </c>
      <c r="E173" s="3" t="s">
        <v>1266</v>
      </c>
      <c r="F173" s="3" t="s">
        <v>1267</v>
      </c>
      <c r="G173" s="3" t="s">
        <v>1268</v>
      </c>
      <c r="H173" s="3" t="s">
        <v>27</v>
      </c>
      <c r="I173" s="3" t="s">
        <v>114</v>
      </c>
      <c r="J173" s="3" t="s">
        <v>29</v>
      </c>
      <c r="K173" s="3" t="s">
        <v>103</v>
      </c>
      <c r="L173" s="3" t="s">
        <v>115</v>
      </c>
      <c r="M173" s="3" t="s">
        <v>32</v>
      </c>
      <c r="N173" s="3" t="s">
        <v>163</v>
      </c>
      <c r="O173" s="3" t="s">
        <v>65</v>
      </c>
      <c r="P173" s="3" t="s">
        <v>35</v>
      </c>
      <c r="Q173" s="3" t="s">
        <v>1269</v>
      </c>
      <c r="R173" s="3" t="s">
        <v>1270</v>
      </c>
      <c r="S173" s="3" t="s">
        <v>53</v>
      </c>
      <c r="T173" s="3" t="s">
        <v>151</v>
      </c>
    </row>
    <row r="174" spans="1:20" x14ac:dyDescent="0.3">
      <c r="A174" s="3" t="s">
        <v>1271</v>
      </c>
      <c r="B174" s="3" t="s">
        <v>833</v>
      </c>
      <c r="C174" s="3" t="s">
        <v>71</v>
      </c>
      <c r="D174" s="3" t="s">
        <v>189</v>
      </c>
      <c r="E174" s="3" t="s">
        <v>1272</v>
      </c>
      <c r="F174" s="3" t="s">
        <v>1273</v>
      </c>
      <c r="G174" s="3" t="s">
        <v>1274</v>
      </c>
      <c r="H174" s="3" t="s">
        <v>76</v>
      </c>
      <c r="I174" s="3" t="s">
        <v>102</v>
      </c>
      <c r="J174" s="3" t="s">
        <v>29</v>
      </c>
      <c r="K174" s="3" t="s">
        <v>103</v>
      </c>
      <c r="L174" s="3" t="s">
        <v>115</v>
      </c>
      <c r="M174" s="3" t="s">
        <v>116</v>
      </c>
      <c r="N174" s="3" t="s">
        <v>153</v>
      </c>
      <c r="O174" s="3" t="s">
        <v>92</v>
      </c>
      <c r="P174" s="3" t="s">
        <v>35</v>
      </c>
      <c r="Q174" s="3" t="s">
        <v>534</v>
      </c>
      <c r="R174" s="3" t="s">
        <v>1275</v>
      </c>
      <c r="S174" s="3" t="s">
        <v>53</v>
      </c>
      <c r="T174" s="3" t="s">
        <v>80</v>
      </c>
    </row>
    <row r="175" spans="1:20" x14ac:dyDescent="0.3">
      <c r="A175" s="3" t="s">
        <v>1276</v>
      </c>
      <c r="B175" s="3" t="s">
        <v>203</v>
      </c>
      <c r="C175" s="3" t="s">
        <v>134</v>
      </c>
      <c r="D175" s="3" t="s">
        <v>84</v>
      </c>
      <c r="E175" s="3" t="s">
        <v>1277</v>
      </c>
      <c r="F175" s="3" t="s">
        <v>1278</v>
      </c>
      <c r="G175" s="3" t="s">
        <v>1279</v>
      </c>
      <c r="H175" s="3" t="s">
        <v>76</v>
      </c>
      <c r="I175" s="3" t="s">
        <v>28</v>
      </c>
      <c r="J175" s="3" t="s">
        <v>29</v>
      </c>
      <c r="K175" s="3" t="s">
        <v>103</v>
      </c>
      <c r="L175" s="3" t="s">
        <v>115</v>
      </c>
      <c r="M175" s="3" t="s">
        <v>116</v>
      </c>
      <c r="N175" s="3" t="s">
        <v>382</v>
      </c>
      <c r="O175" s="3" t="s">
        <v>148</v>
      </c>
      <c r="P175" s="3" t="s">
        <v>35</v>
      </c>
      <c r="Q175" s="3" t="s">
        <v>1280</v>
      </c>
      <c r="R175" s="3" t="s">
        <v>1281</v>
      </c>
      <c r="S175" s="3" t="s">
        <v>38</v>
      </c>
      <c r="T175" s="3" t="s">
        <v>151</v>
      </c>
    </row>
    <row r="176" spans="1:20" x14ac:dyDescent="0.3">
      <c r="A176" s="3" t="s">
        <v>1282</v>
      </c>
      <c r="B176" s="3" t="s">
        <v>307</v>
      </c>
      <c r="C176" s="3" t="s">
        <v>97</v>
      </c>
      <c r="D176" s="3" t="s">
        <v>23</v>
      </c>
      <c r="E176" s="3" t="s">
        <v>1283</v>
      </c>
      <c r="F176" s="3" t="s">
        <v>1284</v>
      </c>
      <c r="G176" s="3" t="s">
        <v>1285</v>
      </c>
      <c r="H176" s="3" t="s">
        <v>60</v>
      </c>
      <c r="I176" s="3" t="s">
        <v>114</v>
      </c>
      <c r="J176" s="3" t="s">
        <v>29</v>
      </c>
      <c r="K176" s="3" t="s">
        <v>146</v>
      </c>
      <c r="L176" s="3" t="s">
        <v>104</v>
      </c>
      <c r="M176" s="3" t="s">
        <v>32</v>
      </c>
      <c r="N176" s="3" t="s">
        <v>652</v>
      </c>
      <c r="O176" s="3" t="s">
        <v>65</v>
      </c>
      <c r="P176" s="3" t="s">
        <v>35</v>
      </c>
      <c r="Q176" s="3" t="s">
        <v>1286</v>
      </c>
      <c r="R176" s="3" t="s">
        <v>1287</v>
      </c>
      <c r="S176" s="3" t="s">
        <v>38</v>
      </c>
      <c r="T176" s="3" t="s">
        <v>151</v>
      </c>
    </row>
    <row r="177" spans="1:20" x14ac:dyDescent="0.3">
      <c r="A177" s="3" t="s">
        <v>1288</v>
      </c>
      <c r="B177" s="3" t="s">
        <v>312</v>
      </c>
      <c r="C177" s="3" t="s">
        <v>283</v>
      </c>
      <c r="D177" s="3" t="s">
        <v>23</v>
      </c>
      <c r="E177" s="3" t="s">
        <v>1289</v>
      </c>
      <c r="F177" s="3" t="s">
        <v>1290</v>
      </c>
      <c r="G177" s="3" t="s">
        <v>1291</v>
      </c>
      <c r="H177" s="3" t="s">
        <v>46</v>
      </c>
      <c r="I177" s="3" t="s">
        <v>28</v>
      </c>
      <c r="J177" s="3" t="s">
        <v>29</v>
      </c>
      <c r="K177" s="3" t="s">
        <v>30</v>
      </c>
      <c r="L177" s="3" t="s">
        <v>31</v>
      </c>
      <c r="M177" s="3" t="s">
        <v>63</v>
      </c>
      <c r="N177" s="3" t="s">
        <v>312</v>
      </c>
      <c r="O177" s="3" t="s">
        <v>34</v>
      </c>
      <c r="P177" s="3" t="s">
        <v>35</v>
      </c>
      <c r="Q177" s="3" t="s">
        <v>1292</v>
      </c>
      <c r="R177" s="3" t="s">
        <v>1293</v>
      </c>
      <c r="S177" s="3" t="s">
        <v>53</v>
      </c>
      <c r="T177" s="3" t="s">
        <v>248</v>
      </c>
    </row>
    <row r="178" spans="1:20" x14ac:dyDescent="0.3">
      <c r="A178" s="3" t="s">
        <v>1294</v>
      </c>
      <c r="B178" s="3" t="s">
        <v>888</v>
      </c>
      <c r="C178" s="3" t="s">
        <v>97</v>
      </c>
      <c r="D178" s="3" t="s">
        <v>72</v>
      </c>
      <c r="E178" s="3" t="s">
        <v>1295</v>
      </c>
      <c r="F178" s="3" t="s">
        <v>1296</v>
      </c>
      <c r="G178" s="3" t="s">
        <v>1297</v>
      </c>
      <c r="H178" s="3" t="s">
        <v>88</v>
      </c>
      <c r="I178" s="3" t="s">
        <v>47</v>
      </c>
      <c r="J178" s="3" t="s">
        <v>29</v>
      </c>
      <c r="K178" s="3" t="s">
        <v>220</v>
      </c>
      <c r="L178" s="3" t="s">
        <v>104</v>
      </c>
      <c r="M178" s="3" t="s">
        <v>32</v>
      </c>
      <c r="N178" s="3" t="s">
        <v>547</v>
      </c>
      <c r="O178" s="3" t="s">
        <v>34</v>
      </c>
      <c r="P178" s="3" t="s">
        <v>35</v>
      </c>
      <c r="Q178" s="3" t="s">
        <v>1298</v>
      </c>
      <c r="R178" s="3" t="s">
        <v>1299</v>
      </c>
      <c r="S178" s="3" t="s">
        <v>53</v>
      </c>
      <c r="T178" s="3" t="s">
        <v>39</v>
      </c>
    </row>
    <row r="179" spans="1:20" x14ac:dyDescent="0.3">
      <c r="A179" s="3" t="s">
        <v>1300</v>
      </c>
      <c r="B179" s="3" t="s">
        <v>159</v>
      </c>
      <c r="C179" s="3" t="s">
        <v>350</v>
      </c>
      <c r="D179" s="3" t="s">
        <v>84</v>
      </c>
      <c r="E179" s="3" t="s">
        <v>1301</v>
      </c>
      <c r="F179" s="3" t="s">
        <v>1302</v>
      </c>
      <c r="G179" s="3" t="s">
        <v>1303</v>
      </c>
      <c r="H179" s="3" t="s">
        <v>27</v>
      </c>
      <c r="I179" s="3" t="s">
        <v>28</v>
      </c>
      <c r="J179" s="3" t="s">
        <v>29</v>
      </c>
      <c r="K179" s="3" t="s">
        <v>61</v>
      </c>
      <c r="L179" s="3" t="s">
        <v>115</v>
      </c>
      <c r="M179" s="3" t="s">
        <v>90</v>
      </c>
      <c r="N179" s="3" t="s">
        <v>221</v>
      </c>
      <c r="O179" s="3" t="s">
        <v>34</v>
      </c>
      <c r="P179" s="3" t="s">
        <v>35</v>
      </c>
      <c r="Q179" s="3" t="s">
        <v>1304</v>
      </c>
      <c r="R179" s="3" t="s">
        <v>1305</v>
      </c>
      <c r="S179" s="3" t="s">
        <v>53</v>
      </c>
      <c r="T179" s="3" t="s">
        <v>80</v>
      </c>
    </row>
    <row r="180" spans="1:20" x14ac:dyDescent="0.3">
      <c r="A180" s="3" t="s">
        <v>1306</v>
      </c>
      <c r="B180" s="3" t="s">
        <v>1307</v>
      </c>
      <c r="C180" s="3" t="s">
        <v>180</v>
      </c>
      <c r="D180" s="3" t="s">
        <v>164</v>
      </c>
      <c r="E180" s="3" t="s">
        <v>1308</v>
      </c>
      <c r="F180" s="3" t="s">
        <v>1309</v>
      </c>
      <c r="G180" s="3" t="s">
        <v>1310</v>
      </c>
      <c r="H180" s="3" t="s">
        <v>60</v>
      </c>
      <c r="I180" s="3" t="s">
        <v>128</v>
      </c>
      <c r="J180" s="3" t="s">
        <v>29</v>
      </c>
      <c r="K180" s="3" t="s">
        <v>146</v>
      </c>
      <c r="L180" s="3" t="s">
        <v>62</v>
      </c>
      <c r="M180" s="3" t="s">
        <v>63</v>
      </c>
      <c r="N180" s="3" t="s">
        <v>510</v>
      </c>
      <c r="O180" s="3" t="s">
        <v>106</v>
      </c>
      <c r="P180" s="3" t="s">
        <v>107</v>
      </c>
      <c r="Q180" s="3" t="s">
        <v>1311</v>
      </c>
      <c r="R180" s="3" t="s">
        <v>1312</v>
      </c>
      <c r="S180" s="3" t="s">
        <v>38</v>
      </c>
      <c r="T180" s="3" t="s">
        <v>68</v>
      </c>
    </row>
    <row r="181" spans="1:20" x14ac:dyDescent="0.3">
      <c r="A181" s="3" t="s">
        <v>1313</v>
      </c>
      <c r="B181" s="3" t="s">
        <v>1314</v>
      </c>
      <c r="C181" s="3" t="s">
        <v>258</v>
      </c>
      <c r="D181" s="3" t="s">
        <v>84</v>
      </c>
      <c r="E181" s="3" t="s">
        <v>1315</v>
      </c>
      <c r="F181" s="3" t="s">
        <v>1316</v>
      </c>
      <c r="G181" s="3" t="s">
        <v>1317</v>
      </c>
      <c r="H181" s="3" t="s">
        <v>311</v>
      </c>
      <c r="I181" s="3" t="s">
        <v>28</v>
      </c>
      <c r="J181" s="3" t="s">
        <v>29</v>
      </c>
      <c r="K181" s="3" t="s">
        <v>61</v>
      </c>
      <c r="L181" s="3" t="s">
        <v>48</v>
      </c>
      <c r="M181" s="3" t="s">
        <v>116</v>
      </c>
      <c r="N181" s="3" t="s">
        <v>680</v>
      </c>
      <c r="O181" s="3" t="s">
        <v>148</v>
      </c>
      <c r="P181" s="3" t="s">
        <v>35</v>
      </c>
      <c r="Q181" s="3" t="s">
        <v>1318</v>
      </c>
      <c r="R181" s="3" t="s">
        <v>1319</v>
      </c>
      <c r="S181" s="3" t="s">
        <v>38</v>
      </c>
      <c r="T181" s="3" t="s">
        <v>80</v>
      </c>
    </row>
    <row r="182" spans="1:20" x14ac:dyDescent="0.3">
      <c r="A182" s="3" t="s">
        <v>1320</v>
      </c>
      <c r="B182" s="3" t="s">
        <v>1321</v>
      </c>
      <c r="C182" s="3" t="s">
        <v>258</v>
      </c>
      <c r="D182" s="3" t="s">
        <v>189</v>
      </c>
      <c r="E182" s="3" t="s">
        <v>1322</v>
      </c>
      <c r="F182" s="3" t="s">
        <v>1323</v>
      </c>
      <c r="G182" s="3" t="s">
        <v>1324</v>
      </c>
      <c r="H182" s="3" t="s">
        <v>88</v>
      </c>
      <c r="I182" s="3" t="s">
        <v>128</v>
      </c>
      <c r="J182" s="3" t="s">
        <v>29</v>
      </c>
      <c r="K182" s="3" t="s">
        <v>103</v>
      </c>
      <c r="L182" s="3" t="s">
        <v>104</v>
      </c>
      <c r="M182" s="3" t="s">
        <v>32</v>
      </c>
      <c r="N182" s="3" t="s">
        <v>1307</v>
      </c>
      <c r="O182" s="3" t="s">
        <v>118</v>
      </c>
      <c r="P182" s="3" t="s">
        <v>119</v>
      </c>
      <c r="Q182" s="3" t="s">
        <v>1325</v>
      </c>
      <c r="R182" s="3" t="s">
        <v>1326</v>
      </c>
      <c r="S182" s="3" t="s">
        <v>53</v>
      </c>
      <c r="T182" s="3" t="s">
        <v>151</v>
      </c>
    </row>
    <row r="183" spans="1:20" x14ac:dyDescent="0.3">
      <c r="A183" s="3" t="s">
        <v>1327</v>
      </c>
      <c r="B183" s="3" t="s">
        <v>211</v>
      </c>
      <c r="C183" s="3" t="s">
        <v>42</v>
      </c>
      <c r="D183" s="3" t="s">
        <v>154</v>
      </c>
      <c r="E183" s="3" t="s">
        <v>1328</v>
      </c>
      <c r="F183" s="3" t="s">
        <v>1329</v>
      </c>
      <c r="G183" s="3" t="s">
        <v>1330</v>
      </c>
      <c r="H183" s="3" t="s">
        <v>88</v>
      </c>
      <c r="I183" s="3" t="s">
        <v>114</v>
      </c>
      <c r="J183" s="3" t="s">
        <v>29</v>
      </c>
      <c r="K183" s="3" t="s">
        <v>146</v>
      </c>
      <c r="L183" s="3" t="s">
        <v>115</v>
      </c>
      <c r="M183" s="3" t="s">
        <v>116</v>
      </c>
      <c r="N183" s="3" t="s">
        <v>129</v>
      </c>
      <c r="O183" s="3" t="s">
        <v>65</v>
      </c>
      <c r="P183" s="3" t="s">
        <v>35</v>
      </c>
      <c r="Q183" s="3" t="s">
        <v>1331</v>
      </c>
      <c r="R183" s="3" t="s">
        <v>1332</v>
      </c>
      <c r="S183" s="3" t="s">
        <v>38</v>
      </c>
      <c r="T183" s="3" t="s">
        <v>186</v>
      </c>
    </row>
    <row r="184" spans="1:20" x14ac:dyDescent="0.3">
      <c r="A184" s="3" t="s">
        <v>1333</v>
      </c>
      <c r="B184" s="3" t="s">
        <v>1081</v>
      </c>
      <c r="C184" s="3" t="s">
        <v>83</v>
      </c>
      <c r="D184" s="3" t="s">
        <v>189</v>
      </c>
      <c r="E184" s="3" t="s">
        <v>1334</v>
      </c>
      <c r="F184" s="3" t="s">
        <v>1335</v>
      </c>
      <c r="G184" s="3" t="s">
        <v>1336</v>
      </c>
      <c r="H184" s="3" t="s">
        <v>193</v>
      </c>
      <c r="I184" s="3" t="s">
        <v>28</v>
      </c>
      <c r="J184" s="3" t="s">
        <v>29</v>
      </c>
      <c r="K184" s="3" t="s">
        <v>30</v>
      </c>
      <c r="L184" s="3" t="s">
        <v>115</v>
      </c>
      <c r="M184" s="3" t="s">
        <v>90</v>
      </c>
      <c r="N184" s="3" t="s">
        <v>680</v>
      </c>
      <c r="O184" s="3" t="s">
        <v>50</v>
      </c>
      <c r="P184" s="3" t="s">
        <v>35</v>
      </c>
      <c r="Q184" s="3" t="s">
        <v>1337</v>
      </c>
      <c r="R184" s="3" t="s">
        <v>1338</v>
      </c>
      <c r="S184" s="3" t="s">
        <v>53</v>
      </c>
      <c r="T184" s="3" t="s">
        <v>248</v>
      </c>
    </row>
    <row r="185" spans="1:20" x14ac:dyDescent="0.3">
      <c r="A185" s="3" t="s">
        <v>1339</v>
      </c>
      <c r="B185" s="3" t="s">
        <v>41</v>
      </c>
      <c r="C185" s="3" t="s">
        <v>42</v>
      </c>
      <c r="D185" s="3" t="s">
        <v>23</v>
      </c>
      <c r="E185" s="3" t="s">
        <v>1340</v>
      </c>
      <c r="F185" s="3" t="s">
        <v>1341</v>
      </c>
      <c r="G185" s="3" t="s">
        <v>1342</v>
      </c>
      <c r="H185" s="3" t="s">
        <v>27</v>
      </c>
      <c r="I185" s="3" t="s">
        <v>114</v>
      </c>
      <c r="J185" s="3" t="s">
        <v>29</v>
      </c>
      <c r="K185" s="3" t="s">
        <v>103</v>
      </c>
      <c r="L185" s="3" t="s">
        <v>48</v>
      </c>
      <c r="M185" s="3" t="s">
        <v>63</v>
      </c>
      <c r="N185" s="3" t="s">
        <v>1151</v>
      </c>
      <c r="O185" s="3" t="s">
        <v>50</v>
      </c>
      <c r="P185" s="3" t="s">
        <v>35</v>
      </c>
      <c r="Q185" s="3" t="s">
        <v>1343</v>
      </c>
      <c r="R185" s="3" t="s">
        <v>1344</v>
      </c>
      <c r="S185" s="3" t="s">
        <v>38</v>
      </c>
      <c r="T185" s="3" t="s">
        <v>151</v>
      </c>
    </row>
    <row r="186" spans="1:20" x14ac:dyDescent="0.3">
      <c r="A186" s="3" t="s">
        <v>1345</v>
      </c>
      <c r="B186" s="3" t="s">
        <v>911</v>
      </c>
      <c r="C186" s="3" t="s">
        <v>502</v>
      </c>
      <c r="D186" s="3" t="s">
        <v>189</v>
      </c>
      <c r="E186" s="3" t="s">
        <v>1346</v>
      </c>
      <c r="F186" s="3" t="s">
        <v>1347</v>
      </c>
      <c r="G186" s="3" t="s">
        <v>1348</v>
      </c>
      <c r="H186" s="3" t="s">
        <v>88</v>
      </c>
      <c r="I186" s="3" t="s">
        <v>47</v>
      </c>
      <c r="J186" s="3" t="s">
        <v>29</v>
      </c>
      <c r="K186" s="3" t="s">
        <v>220</v>
      </c>
      <c r="L186" s="3" t="s">
        <v>48</v>
      </c>
      <c r="M186" s="3" t="s">
        <v>63</v>
      </c>
      <c r="N186" s="3" t="s">
        <v>726</v>
      </c>
      <c r="O186" s="3" t="s">
        <v>65</v>
      </c>
      <c r="P186" s="3" t="s">
        <v>35</v>
      </c>
      <c r="Q186" s="3" t="s">
        <v>1349</v>
      </c>
      <c r="R186" s="3" t="s">
        <v>1350</v>
      </c>
      <c r="S186" s="3" t="s">
        <v>38</v>
      </c>
      <c r="T186" s="3" t="s">
        <v>186</v>
      </c>
    </row>
    <row r="187" spans="1:20" x14ac:dyDescent="0.3">
      <c r="A187" s="3" t="s">
        <v>1351</v>
      </c>
      <c r="B187" s="3" t="s">
        <v>656</v>
      </c>
      <c r="C187" s="3" t="s">
        <v>56</v>
      </c>
      <c r="D187" s="3" t="s">
        <v>72</v>
      </c>
      <c r="E187" s="3" t="s">
        <v>1352</v>
      </c>
      <c r="F187" s="3" t="s">
        <v>1353</v>
      </c>
      <c r="G187" s="3" t="s">
        <v>1354</v>
      </c>
      <c r="H187" s="3" t="s">
        <v>311</v>
      </c>
      <c r="I187" s="3" t="s">
        <v>114</v>
      </c>
      <c r="J187" s="3" t="s">
        <v>29</v>
      </c>
      <c r="K187" s="3" t="s">
        <v>61</v>
      </c>
      <c r="L187" s="3" t="s">
        <v>104</v>
      </c>
      <c r="M187" s="3" t="s">
        <v>116</v>
      </c>
      <c r="N187" s="3" t="s">
        <v>360</v>
      </c>
      <c r="O187" s="3" t="s">
        <v>50</v>
      </c>
      <c r="P187" s="3" t="s">
        <v>35</v>
      </c>
      <c r="Q187" s="3" t="s">
        <v>1355</v>
      </c>
      <c r="R187" s="3" t="s">
        <v>1356</v>
      </c>
      <c r="S187" s="3" t="s">
        <v>53</v>
      </c>
      <c r="T187" s="3" t="s">
        <v>68</v>
      </c>
    </row>
    <row r="188" spans="1:20" x14ac:dyDescent="0.3">
      <c r="A188" s="3" t="s">
        <v>1357</v>
      </c>
      <c r="B188" s="3" t="s">
        <v>96</v>
      </c>
      <c r="C188" s="3" t="s">
        <v>97</v>
      </c>
      <c r="D188" s="3" t="s">
        <v>98</v>
      </c>
      <c r="E188" s="3" t="s">
        <v>1358</v>
      </c>
      <c r="F188" s="3" t="s">
        <v>1359</v>
      </c>
      <c r="G188" s="3" t="s">
        <v>1360</v>
      </c>
      <c r="H188" s="3" t="s">
        <v>76</v>
      </c>
      <c r="I188" s="3" t="s">
        <v>88</v>
      </c>
      <c r="J188" s="3" t="s">
        <v>29</v>
      </c>
      <c r="K188" s="3" t="s">
        <v>30</v>
      </c>
      <c r="L188" s="3" t="s">
        <v>115</v>
      </c>
      <c r="M188" s="3" t="s">
        <v>116</v>
      </c>
      <c r="N188" s="3" t="s">
        <v>163</v>
      </c>
      <c r="O188" s="3" t="s">
        <v>50</v>
      </c>
      <c r="P188" s="3" t="s">
        <v>35</v>
      </c>
      <c r="Q188" s="3" t="s">
        <v>1361</v>
      </c>
      <c r="R188" s="3" t="s">
        <v>1362</v>
      </c>
      <c r="S188" s="3" t="s">
        <v>38</v>
      </c>
      <c r="T188" s="3" t="s">
        <v>248</v>
      </c>
    </row>
    <row r="189" spans="1:20" x14ac:dyDescent="0.3">
      <c r="A189" s="3" t="s">
        <v>1363</v>
      </c>
      <c r="B189" s="3" t="s">
        <v>133</v>
      </c>
      <c r="C189" s="3" t="s">
        <v>134</v>
      </c>
      <c r="D189" s="3" t="s">
        <v>135</v>
      </c>
      <c r="E189" s="3" t="s">
        <v>1364</v>
      </c>
      <c r="F189" s="3" t="s">
        <v>1365</v>
      </c>
      <c r="G189" s="3" t="s">
        <v>1366</v>
      </c>
      <c r="H189" s="3" t="s">
        <v>27</v>
      </c>
      <c r="I189" s="3" t="s">
        <v>102</v>
      </c>
      <c r="J189" s="3" t="s">
        <v>29</v>
      </c>
      <c r="K189" s="3" t="s">
        <v>146</v>
      </c>
      <c r="L189" s="3" t="s">
        <v>48</v>
      </c>
      <c r="M189" s="3" t="s">
        <v>90</v>
      </c>
      <c r="N189" s="3" t="s">
        <v>198</v>
      </c>
      <c r="O189" s="3" t="s">
        <v>50</v>
      </c>
      <c r="P189" s="3" t="s">
        <v>35</v>
      </c>
      <c r="Q189" s="3" t="s">
        <v>1367</v>
      </c>
      <c r="R189" s="3" t="s">
        <v>1368</v>
      </c>
      <c r="S189" s="3" t="s">
        <v>53</v>
      </c>
      <c r="T189" s="3" t="s">
        <v>248</v>
      </c>
    </row>
    <row r="190" spans="1:20" x14ac:dyDescent="0.3">
      <c r="A190" s="3" t="s">
        <v>1369</v>
      </c>
      <c r="B190" s="3" t="s">
        <v>969</v>
      </c>
      <c r="C190" s="3" t="s">
        <v>350</v>
      </c>
      <c r="D190" s="3" t="s">
        <v>135</v>
      </c>
      <c r="E190" s="3" t="s">
        <v>1370</v>
      </c>
      <c r="F190" s="3" t="s">
        <v>1371</v>
      </c>
      <c r="G190" s="3" t="s">
        <v>1372</v>
      </c>
      <c r="H190" s="3" t="s">
        <v>76</v>
      </c>
      <c r="I190" s="3" t="s">
        <v>28</v>
      </c>
      <c r="J190" s="3" t="s">
        <v>29</v>
      </c>
      <c r="K190" s="3" t="s">
        <v>146</v>
      </c>
      <c r="L190" s="3" t="s">
        <v>48</v>
      </c>
      <c r="M190" s="3" t="s">
        <v>90</v>
      </c>
      <c r="N190" s="3" t="s">
        <v>41</v>
      </c>
      <c r="O190" s="3" t="s">
        <v>50</v>
      </c>
      <c r="P190" s="3" t="s">
        <v>35</v>
      </c>
      <c r="Q190" s="3" t="s">
        <v>1373</v>
      </c>
      <c r="R190" s="3" t="s">
        <v>1374</v>
      </c>
      <c r="S190" s="3" t="s">
        <v>53</v>
      </c>
      <c r="T190" s="3" t="s">
        <v>186</v>
      </c>
    </row>
    <row r="191" spans="1:20" x14ac:dyDescent="0.3">
      <c r="A191" s="3" t="s">
        <v>1375</v>
      </c>
      <c r="B191" s="3" t="s">
        <v>697</v>
      </c>
      <c r="C191" s="3" t="s">
        <v>502</v>
      </c>
      <c r="D191" s="3" t="s">
        <v>154</v>
      </c>
      <c r="E191" s="3" t="s">
        <v>1376</v>
      </c>
      <c r="F191" s="3" t="s">
        <v>1377</v>
      </c>
      <c r="G191" s="3" t="s">
        <v>1378</v>
      </c>
      <c r="H191" s="3" t="s">
        <v>88</v>
      </c>
      <c r="I191" s="3" t="s">
        <v>88</v>
      </c>
      <c r="J191" s="3" t="s">
        <v>29</v>
      </c>
      <c r="K191" s="3" t="s">
        <v>220</v>
      </c>
      <c r="L191" s="3" t="s">
        <v>104</v>
      </c>
      <c r="M191" s="3" t="s">
        <v>63</v>
      </c>
      <c r="N191" s="3" t="s">
        <v>888</v>
      </c>
      <c r="O191" s="3" t="s">
        <v>65</v>
      </c>
      <c r="P191" s="3" t="s">
        <v>35</v>
      </c>
      <c r="Q191" s="3" t="s">
        <v>1379</v>
      </c>
      <c r="R191" s="3" t="s">
        <v>1380</v>
      </c>
      <c r="S191" s="3" t="s">
        <v>53</v>
      </c>
      <c r="T191" s="3" t="s">
        <v>80</v>
      </c>
    </row>
    <row r="192" spans="1:20" x14ac:dyDescent="0.3">
      <c r="A192" s="3" t="s">
        <v>1381</v>
      </c>
      <c r="B192" s="3" t="s">
        <v>21</v>
      </c>
      <c r="C192" s="3" t="s">
        <v>22</v>
      </c>
      <c r="D192" s="3" t="s">
        <v>23</v>
      </c>
      <c r="E192" s="3" t="s">
        <v>1382</v>
      </c>
      <c r="F192" s="3" t="s">
        <v>1383</v>
      </c>
      <c r="G192" s="3" t="s">
        <v>1384</v>
      </c>
      <c r="H192" s="3" t="s">
        <v>311</v>
      </c>
      <c r="I192" s="3" t="s">
        <v>47</v>
      </c>
      <c r="J192" s="3" t="s">
        <v>29</v>
      </c>
      <c r="K192" s="3" t="s">
        <v>61</v>
      </c>
      <c r="L192" s="3" t="s">
        <v>115</v>
      </c>
      <c r="M192" s="3" t="s">
        <v>32</v>
      </c>
      <c r="N192" s="3" t="s">
        <v>91</v>
      </c>
      <c r="O192" s="3" t="s">
        <v>34</v>
      </c>
      <c r="P192" s="3" t="s">
        <v>35</v>
      </c>
      <c r="Q192" s="3" t="s">
        <v>1385</v>
      </c>
      <c r="R192" s="3" t="s">
        <v>1386</v>
      </c>
      <c r="S192" s="3" t="s">
        <v>38</v>
      </c>
      <c r="T192" s="3" t="s">
        <v>186</v>
      </c>
    </row>
    <row r="193" spans="1:20" x14ac:dyDescent="0.3">
      <c r="A193" s="3" t="s">
        <v>1387</v>
      </c>
      <c r="B193" s="3" t="s">
        <v>1388</v>
      </c>
      <c r="C193" s="3" t="s">
        <v>216</v>
      </c>
      <c r="D193" s="3" t="s">
        <v>154</v>
      </c>
      <c r="E193" s="3" t="s">
        <v>1389</v>
      </c>
      <c r="F193" s="3" t="s">
        <v>1390</v>
      </c>
      <c r="G193" s="3" t="s">
        <v>1391</v>
      </c>
      <c r="H193" s="3" t="s">
        <v>27</v>
      </c>
      <c r="I193" s="3" t="s">
        <v>128</v>
      </c>
      <c r="J193" s="3" t="s">
        <v>29</v>
      </c>
      <c r="K193" s="3" t="s">
        <v>220</v>
      </c>
      <c r="L193" s="3" t="s">
        <v>115</v>
      </c>
      <c r="M193" s="3" t="s">
        <v>116</v>
      </c>
      <c r="N193" s="3" t="s">
        <v>789</v>
      </c>
      <c r="O193" s="3" t="s">
        <v>65</v>
      </c>
      <c r="P193" s="3" t="s">
        <v>35</v>
      </c>
      <c r="Q193" s="3" t="s">
        <v>1392</v>
      </c>
      <c r="R193" s="3" t="s">
        <v>1393</v>
      </c>
      <c r="S193" s="3" t="s">
        <v>38</v>
      </c>
      <c r="T193" s="3" t="s">
        <v>151</v>
      </c>
    </row>
    <row r="194" spans="1:20" x14ac:dyDescent="0.3">
      <c r="A194" s="3" t="s">
        <v>1394</v>
      </c>
      <c r="B194" s="3" t="s">
        <v>163</v>
      </c>
      <c r="C194" s="3" t="s">
        <v>71</v>
      </c>
      <c r="D194" s="3" t="s">
        <v>164</v>
      </c>
      <c r="E194" s="3" t="s">
        <v>1395</v>
      </c>
      <c r="F194" s="3" t="s">
        <v>1396</v>
      </c>
      <c r="G194" s="3" t="s">
        <v>1397</v>
      </c>
      <c r="H194" s="3" t="s">
        <v>76</v>
      </c>
      <c r="I194" s="3" t="s">
        <v>47</v>
      </c>
      <c r="J194" s="3" t="s">
        <v>29</v>
      </c>
      <c r="K194" s="3" t="s">
        <v>89</v>
      </c>
      <c r="L194" s="3" t="s">
        <v>48</v>
      </c>
      <c r="M194" s="3" t="s">
        <v>90</v>
      </c>
      <c r="N194" s="3" t="s">
        <v>742</v>
      </c>
      <c r="O194" s="3" t="s">
        <v>92</v>
      </c>
      <c r="P194" s="3" t="s">
        <v>35</v>
      </c>
      <c r="Q194" s="3" t="s">
        <v>1398</v>
      </c>
      <c r="R194" s="3" t="s">
        <v>1399</v>
      </c>
      <c r="S194" s="3" t="s">
        <v>38</v>
      </c>
      <c r="T194" s="3" t="s">
        <v>68</v>
      </c>
    </row>
    <row r="195" spans="1:20" x14ac:dyDescent="0.3">
      <c r="A195" s="3" t="s">
        <v>1400</v>
      </c>
      <c r="B195" s="3" t="s">
        <v>1029</v>
      </c>
      <c r="C195" s="3" t="s">
        <v>42</v>
      </c>
      <c r="D195" s="3" t="s">
        <v>124</v>
      </c>
      <c r="E195" s="3" t="s">
        <v>1401</v>
      </c>
      <c r="F195" s="3" t="s">
        <v>1402</v>
      </c>
      <c r="G195" s="3" t="s">
        <v>1403</v>
      </c>
      <c r="H195" s="3" t="s">
        <v>193</v>
      </c>
      <c r="I195" s="3" t="s">
        <v>114</v>
      </c>
      <c r="J195" s="3" t="s">
        <v>29</v>
      </c>
      <c r="K195" s="3" t="s">
        <v>220</v>
      </c>
      <c r="L195" s="3" t="s">
        <v>104</v>
      </c>
      <c r="M195" s="3" t="s">
        <v>116</v>
      </c>
      <c r="N195" s="3" t="s">
        <v>1321</v>
      </c>
      <c r="O195" s="3" t="s">
        <v>106</v>
      </c>
      <c r="P195" s="3" t="s">
        <v>107</v>
      </c>
      <c r="Q195" s="3" t="s">
        <v>1404</v>
      </c>
      <c r="R195" s="3" t="s">
        <v>1405</v>
      </c>
      <c r="S195" s="3" t="s">
        <v>53</v>
      </c>
      <c r="T195" s="3" t="s">
        <v>186</v>
      </c>
    </row>
    <row r="196" spans="1:20" x14ac:dyDescent="0.3">
      <c r="A196" s="3" t="s">
        <v>1406</v>
      </c>
      <c r="B196" s="3" t="s">
        <v>485</v>
      </c>
      <c r="C196" s="3" t="s">
        <v>56</v>
      </c>
      <c r="D196" s="3" t="s">
        <v>98</v>
      </c>
      <c r="E196" s="3" t="s">
        <v>1407</v>
      </c>
      <c r="F196" s="3" t="s">
        <v>1408</v>
      </c>
      <c r="G196" s="3" t="s">
        <v>1409</v>
      </c>
      <c r="H196" s="3" t="s">
        <v>311</v>
      </c>
      <c r="I196" s="3" t="s">
        <v>128</v>
      </c>
      <c r="J196" s="3" t="s">
        <v>29</v>
      </c>
      <c r="K196" s="3" t="s">
        <v>103</v>
      </c>
      <c r="L196" s="3" t="s">
        <v>104</v>
      </c>
      <c r="M196" s="3" t="s">
        <v>32</v>
      </c>
      <c r="N196" s="3" t="s">
        <v>1410</v>
      </c>
      <c r="O196" s="3" t="s">
        <v>278</v>
      </c>
      <c r="P196" s="3" t="s">
        <v>119</v>
      </c>
      <c r="Q196" s="3" t="s">
        <v>1411</v>
      </c>
      <c r="R196" s="3" t="s">
        <v>1412</v>
      </c>
      <c r="S196" s="3" t="s">
        <v>53</v>
      </c>
      <c r="T196" s="3" t="s">
        <v>39</v>
      </c>
    </row>
    <row r="197" spans="1:20" x14ac:dyDescent="0.3">
      <c r="A197" s="3" t="s">
        <v>1413</v>
      </c>
      <c r="B197" s="3" t="s">
        <v>929</v>
      </c>
      <c r="C197" s="3" t="s">
        <v>325</v>
      </c>
      <c r="D197" s="3" t="s">
        <v>23</v>
      </c>
      <c r="E197" s="3" t="s">
        <v>1414</v>
      </c>
      <c r="F197" s="3" t="s">
        <v>1415</v>
      </c>
      <c r="G197" s="3" t="s">
        <v>1416</v>
      </c>
      <c r="H197" s="3" t="s">
        <v>158</v>
      </c>
      <c r="I197" s="3" t="s">
        <v>88</v>
      </c>
      <c r="J197" s="3" t="s">
        <v>29</v>
      </c>
      <c r="K197" s="3" t="s">
        <v>89</v>
      </c>
      <c r="L197" s="3" t="s">
        <v>115</v>
      </c>
      <c r="M197" s="3" t="s">
        <v>90</v>
      </c>
      <c r="N197" s="3" t="s">
        <v>257</v>
      </c>
      <c r="O197" s="3" t="s">
        <v>148</v>
      </c>
      <c r="P197" s="3" t="s">
        <v>35</v>
      </c>
      <c r="Q197" s="3" t="s">
        <v>1417</v>
      </c>
      <c r="R197" s="3" t="s">
        <v>1418</v>
      </c>
      <c r="S197" s="3" t="s">
        <v>38</v>
      </c>
      <c r="T197" s="3" t="s">
        <v>186</v>
      </c>
    </row>
    <row r="198" spans="1:20" x14ac:dyDescent="0.3">
      <c r="A198" s="3" t="s">
        <v>1419</v>
      </c>
      <c r="B198" s="3" t="s">
        <v>295</v>
      </c>
      <c r="C198" s="3" t="s">
        <v>199</v>
      </c>
      <c r="D198" s="3" t="s">
        <v>189</v>
      </c>
      <c r="E198" s="3" t="s">
        <v>1420</v>
      </c>
      <c r="F198" s="3" t="s">
        <v>1421</v>
      </c>
      <c r="G198" s="3" t="s">
        <v>1422</v>
      </c>
      <c r="H198" s="3" t="s">
        <v>158</v>
      </c>
      <c r="I198" s="3" t="s">
        <v>28</v>
      </c>
      <c r="J198" s="3" t="s">
        <v>29</v>
      </c>
      <c r="K198" s="3" t="s">
        <v>146</v>
      </c>
      <c r="L198" s="3" t="s">
        <v>48</v>
      </c>
      <c r="M198" s="3" t="s">
        <v>90</v>
      </c>
      <c r="N198" s="3" t="s">
        <v>207</v>
      </c>
      <c r="O198" s="3" t="s">
        <v>65</v>
      </c>
      <c r="P198" s="3" t="s">
        <v>35</v>
      </c>
      <c r="Q198" s="3" t="s">
        <v>1423</v>
      </c>
      <c r="R198" s="3" t="s">
        <v>1424</v>
      </c>
      <c r="S198" s="3" t="s">
        <v>38</v>
      </c>
      <c r="T198" s="3" t="s">
        <v>248</v>
      </c>
    </row>
    <row r="199" spans="1:20" x14ac:dyDescent="0.3">
      <c r="A199" s="3" t="s">
        <v>1425</v>
      </c>
      <c r="B199" s="3" t="s">
        <v>759</v>
      </c>
      <c r="C199" s="3" t="s">
        <v>216</v>
      </c>
      <c r="D199" s="3" t="s">
        <v>241</v>
      </c>
      <c r="E199" s="3" t="s">
        <v>1426</v>
      </c>
      <c r="F199" s="3" t="s">
        <v>1427</v>
      </c>
      <c r="G199" s="3" t="s">
        <v>1428</v>
      </c>
      <c r="H199" s="3" t="s">
        <v>311</v>
      </c>
      <c r="I199" s="3" t="s">
        <v>245</v>
      </c>
      <c r="J199" s="3" t="s">
        <v>29</v>
      </c>
      <c r="K199" s="3" t="s">
        <v>89</v>
      </c>
      <c r="L199" s="3" t="s">
        <v>48</v>
      </c>
      <c r="M199" s="3" t="s">
        <v>32</v>
      </c>
      <c r="N199" s="3" t="s">
        <v>1410</v>
      </c>
      <c r="O199" s="3" t="s">
        <v>118</v>
      </c>
      <c r="P199" s="3" t="s">
        <v>119</v>
      </c>
      <c r="Q199" s="3" t="s">
        <v>1429</v>
      </c>
      <c r="R199" s="3" t="s">
        <v>1430</v>
      </c>
      <c r="S199" s="3" t="s">
        <v>53</v>
      </c>
      <c r="T199" s="3" t="s">
        <v>39</v>
      </c>
    </row>
    <row r="200" spans="1:20" x14ac:dyDescent="0.3">
      <c r="A200" s="3" t="s">
        <v>1431</v>
      </c>
      <c r="B200" s="3" t="s">
        <v>1046</v>
      </c>
      <c r="C200" s="3" t="s">
        <v>22</v>
      </c>
      <c r="D200" s="3" t="s">
        <v>72</v>
      </c>
      <c r="E200" s="3" t="s">
        <v>1432</v>
      </c>
      <c r="F200" s="3" t="s">
        <v>1433</v>
      </c>
      <c r="G200" s="3" t="s">
        <v>1434</v>
      </c>
      <c r="H200" s="3" t="s">
        <v>27</v>
      </c>
      <c r="I200" s="3" t="s">
        <v>28</v>
      </c>
      <c r="J200" s="3" t="s">
        <v>29</v>
      </c>
      <c r="K200" s="3" t="s">
        <v>30</v>
      </c>
      <c r="L200" s="3" t="s">
        <v>31</v>
      </c>
      <c r="M200" s="3" t="s">
        <v>116</v>
      </c>
      <c r="N200" s="3" t="s">
        <v>633</v>
      </c>
      <c r="O200" s="3" t="s">
        <v>148</v>
      </c>
      <c r="P200" s="3" t="s">
        <v>35</v>
      </c>
      <c r="Q200" s="3" t="s">
        <v>1435</v>
      </c>
      <c r="R200" s="3" t="s">
        <v>1436</v>
      </c>
      <c r="S200" s="3" t="s">
        <v>38</v>
      </c>
      <c r="T200" s="3" t="s">
        <v>151</v>
      </c>
    </row>
    <row r="201" spans="1:20" x14ac:dyDescent="0.3">
      <c r="A201" s="3" t="s">
        <v>1437</v>
      </c>
      <c r="B201" s="3" t="s">
        <v>117</v>
      </c>
      <c r="C201" s="3" t="s">
        <v>216</v>
      </c>
      <c r="D201" s="3" t="s">
        <v>84</v>
      </c>
      <c r="E201" s="3" t="s">
        <v>1438</v>
      </c>
      <c r="F201" s="3" t="s">
        <v>1439</v>
      </c>
      <c r="G201" s="3" t="s">
        <v>1440</v>
      </c>
      <c r="H201" s="3" t="s">
        <v>88</v>
      </c>
      <c r="I201" s="3" t="s">
        <v>114</v>
      </c>
      <c r="J201" s="3" t="s">
        <v>29</v>
      </c>
      <c r="K201" s="3" t="s">
        <v>30</v>
      </c>
      <c r="L201" s="3" t="s">
        <v>115</v>
      </c>
      <c r="M201" s="3" t="s">
        <v>116</v>
      </c>
      <c r="N201" s="3" t="s">
        <v>396</v>
      </c>
      <c r="O201" s="3" t="s">
        <v>65</v>
      </c>
      <c r="P201" s="3" t="s">
        <v>35</v>
      </c>
      <c r="Q201" s="3" t="s">
        <v>1441</v>
      </c>
      <c r="R201" s="3" t="s">
        <v>1442</v>
      </c>
      <c r="S201" s="3" t="s">
        <v>38</v>
      </c>
      <c r="T201" s="3" t="s">
        <v>186</v>
      </c>
    </row>
    <row r="202" spans="1:20" x14ac:dyDescent="0.3">
      <c r="A202" s="3" t="s">
        <v>1443</v>
      </c>
      <c r="B202" s="3" t="s">
        <v>527</v>
      </c>
      <c r="C202" s="3" t="s">
        <v>22</v>
      </c>
      <c r="D202" s="3" t="s">
        <v>84</v>
      </c>
      <c r="E202" s="3" t="s">
        <v>1444</v>
      </c>
      <c r="F202" s="3" t="s">
        <v>1445</v>
      </c>
      <c r="G202" s="3" t="s">
        <v>1446</v>
      </c>
      <c r="H202" s="3" t="s">
        <v>88</v>
      </c>
      <c r="I202" s="3" t="s">
        <v>88</v>
      </c>
      <c r="J202" s="3" t="s">
        <v>29</v>
      </c>
      <c r="K202" s="3" t="s">
        <v>146</v>
      </c>
      <c r="L202" s="3" t="s">
        <v>115</v>
      </c>
      <c r="M202" s="3" t="s">
        <v>32</v>
      </c>
      <c r="N202" s="3" t="s">
        <v>382</v>
      </c>
      <c r="O202" s="3" t="s">
        <v>118</v>
      </c>
      <c r="P202" s="3" t="s">
        <v>119</v>
      </c>
      <c r="Q202" s="3" t="s">
        <v>1447</v>
      </c>
      <c r="R202" s="3" t="s">
        <v>1448</v>
      </c>
      <c r="S202" s="3" t="s">
        <v>53</v>
      </c>
      <c r="T202" s="3" t="s">
        <v>186</v>
      </c>
    </row>
    <row r="203" spans="1:20" x14ac:dyDescent="0.3">
      <c r="A203" s="3" t="s">
        <v>1449</v>
      </c>
      <c r="B203" s="3" t="s">
        <v>117</v>
      </c>
      <c r="C203" s="3" t="s">
        <v>216</v>
      </c>
      <c r="D203" s="3" t="s">
        <v>84</v>
      </c>
      <c r="E203" s="3" t="s">
        <v>1450</v>
      </c>
      <c r="F203" s="3" t="s">
        <v>1451</v>
      </c>
      <c r="G203" s="3" t="s">
        <v>1452</v>
      </c>
      <c r="H203" s="3" t="s">
        <v>46</v>
      </c>
      <c r="I203" s="3" t="s">
        <v>28</v>
      </c>
      <c r="J203" s="3" t="s">
        <v>29</v>
      </c>
      <c r="K203" s="3" t="s">
        <v>103</v>
      </c>
      <c r="L203" s="3" t="s">
        <v>48</v>
      </c>
      <c r="M203" s="3" t="s">
        <v>63</v>
      </c>
      <c r="N203" s="3" t="s">
        <v>168</v>
      </c>
      <c r="O203" s="3" t="s">
        <v>92</v>
      </c>
      <c r="P203" s="3" t="s">
        <v>35</v>
      </c>
      <c r="Q203" s="3" t="s">
        <v>1453</v>
      </c>
      <c r="R203" s="3" t="s">
        <v>1454</v>
      </c>
      <c r="S203" s="3" t="s">
        <v>53</v>
      </c>
      <c r="T203" s="3" t="s">
        <v>248</v>
      </c>
    </row>
    <row r="204" spans="1:20" x14ac:dyDescent="0.3">
      <c r="A204" s="3" t="s">
        <v>1455</v>
      </c>
      <c r="B204" s="3" t="s">
        <v>1029</v>
      </c>
      <c r="C204" s="3" t="s">
        <v>42</v>
      </c>
      <c r="D204" s="3" t="s">
        <v>124</v>
      </c>
      <c r="E204" s="3" t="s">
        <v>1456</v>
      </c>
      <c r="F204" s="3" t="s">
        <v>1457</v>
      </c>
      <c r="G204" s="3" t="s">
        <v>1458</v>
      </c>
      <c r="H204" s="3" t="s">
        <v>60</v>
      </c>
      <c r="I204" s="3" t="s">
        <v>88</v>
      </c>
      <c r="J204" s="3" t="s">
        <v>29</v>
      </c>
      <c r="K204" s="3" t="s">
        <v>30</v>
      </c>
      <c r="L204" s="3" t="s">
        <v>62</v>
      </c>
      <c r="M204" s="3" t="s">
        <v>63</v>
      </c>
      <c r="N204" s="3" t="s">
        <v>1459</v>
      </c>
      <c r="O204" s="3" t="s">
        <v>106</v>
      </c>
      <c r="P204" s="3" t="s">
        <v>107</v>
      </c>
      <c r="Q204" s="3" t="s">
        <v>1460</v>
      </c>
      <c r="R204" s="3" t="s">
        <v>1461</v>
      </c>
      <c r="S204" s="3" t="s">
        <v>38</v>
      </c>
      <c r="T204" s="3" t="s">
        <v>151</v>
      </c>
    </row>
    <row r="205" spans="1:20" x14ac:dyDescent="0.3">
      <c r="A205" s="3" t="s">
        <v>1462</v>
      </c>
      <c r="B205" s="3" t="s">
        <v>749</v>
      </c>
      <c r="C205" s="3" t="s">
        <v>56</v>
      </c>
      <c r="D205" s="3" t="s">
        <v>241</v>
      </c>
      <c r="E205" s="3" t="s">
        <v>1463</v>
      </c>
      <c r="F205" s="3" t="s">
        <v>1464</v>
      </c>
      <c r="G205" s="3" t="s">
        <v>1465</v>
      </c>
      <c r="H205" s="3" t="s">
        <v>311</v>
      </c>
      <c r="I205" s="3" t="s">
        <v>47</v>
      </c>
      <c r="J205" s="3" t="s">
        <v>29</v>
      </c>
      <c r="K205" s="3" t="s">
        <v>146</v>
      </c>
      <c r="L205" s="3" t="s">
        <v>104</v>
      </c>
      <c r="M205" s="3" t="s">
        <v>116</v>
      </c>
      <c r="N205" s="3" t="s">
        <v>925</v>
      </c>
      <c r="O205" s="3" t="s">
        <v>34</v>
      </c>
      <c r="P205" s="3" t="s">
        <v>35</v>
      </c>
      <c r="Q205" s="3" t="s">
        <v>1466</v>
      </c>
      <c r="R205" s="3" t="s">
        <v>1467</v>
      </c>
      <c r="S205" s="3" t="s">
        <v>53</v>
      </c>
      <c r="T205" s="3" t="s">
        <v>68</v>
      </c>
    </row>
    <row r="206" spans="1:20" x14ac:dyDescent="0.3">
      <c r="A206" s="3" t="s">
        <v>1468</v>
      </c>
      <c r="B206" s="3" t="s">
        <v>320</v>
      </c>
      <c r="C206" s="3" t="s">
        <v>71</v>
      </c>
      <c r="D206" s="3" t="s">
        <v>154</v>
      </c>
      <c r="E206" s="3" t="s">
        <v>1469</v>
      </c>
      <c r="F206" s="3" t="s">
        <v>1470</v>
      </c>
      <c r="G206" s="3" t="s">
        <v>1471</v>
      </c>
      <c r="H206" s="3" t="s">
        <v>193</v>
      </c>
      <c r="I206" s="3" t="s">
        <v>28</v>
      </c>
      <c r="J206" s="3" t="s">
        <v>29</v>
      </c>
      <c r="K206" s="3" t="s">
        <v>89</v>
      </c>
      <c r="L206" s="3" t="s">
        <v>48</v>
      </c>
      <c r="M206" s="3" t="s">
        <v>116</v>
      </c>
      <c r="N206" s="3" t="s">
        <v>329</v>
      </c>
      <c r="O206" s="3" t="s">
        <v>118</v>
      </c>
      <c r="P206" s="3" t="s">
        <v>119</v>
      </c>
      <c r="Q206" s="3" t="s">
        <v>1472</v>
      </c>
      <c r="R206" s="3" t="s">
        <v>1473</v>
      </c>
      <c r="S206" s="3" t="s">
        <v>53</v>
      </c>
      <c r="T206" s="3" t="s">
        <v>39</v>
      </c>
    </row>
    <row r="207" spans="1:20" x14ac:dyDescent="0.3">
      <c r="A207" s="3" t="s">
        <v>1474</v>
      </c>
      <c r="B207" s="3" t="s">
        <v>687</v>
      </c>
      <c r="C207" s="3" t="s">
        <v>283</v>
      </c>
      <c r="D207" s="3" t="s">
        <v>154</v>
      </c>
      <c r="E207" s="3" t="s">
        <v>1475</v>
      </c>
      <c r="F207" s="3" t="s">
        <v>1476</v>
      </c>
      <c r="G207" s="3" t="s">
        <v>1477</v>
      </c>
      <c r="H207" s="3" t="s">
        <v>88</v>
      </c>
      <c r="I207" s="3" t="s">
        <v>102</v>
      </c>
      <c r="J207" s="3" t="s">
        <v>29</v>
      </c>
      <c r="K207" s="3" t="s">
        <v>89</v>
      </c>
      <c r="L207" s="3" t="s">
        <v>115</v>
      </c>
      <c r="M207" s="3" t="s">
        <v>63</v>
      </c>
      <c r="N207" s="3" t="s">
        <v>864</v>
      </c>
      <c r="O207" s="3" t="s">
        <v>278</v>
      </c>
      <c r="P207" s="3" t="s">
        <v>119</v>
      </c>
      <c r="Q207" s="3" t="s">
        <v>1478</v>
      </c>
      <c r="R207" s="3" t="s">
        <v>1479</v>
      </c>
      <c r="S207" s="3" t="s">
        <v>53</v>
      </c>
      <c r="T207" s="3" t="s">
        <v>186</v>
      </c>
    </row>
    <row r="208" spans="1:20" x14ac:dyDescent="0.3">
      <c r="A208" s="3" t="s">
        <v>1480</v>
      </c>
      <c r="B208" s="3" t="s">
        <v>105</v>
      </c>
      <c r="C208" s="3" t="s">
        <v>134</v>
      </c>
      <c r="D208" s="3" t="s">
        <v>98</v>
      </c>
      <c r="E208" s="3" t="s">
        <v>1481</v>
      </c>
      <c r="F208" s="3" t="s">
        <v>1482</v>
      </c>
      <c r="G208" s="3" t="s">
        <v>1483</v>
      </c>
      <c r="H208" s="3" t="s">
        <v>311</v>
      </c>
      <c r="I208" s="3" t="s">
        <v>47</v>
      </c>
      <c r="J208" s="3" t="s">
        <v>29</v>
      </c>
      <c r="K208" s="3" t="s">
        <v>89</v>
      </c>
      <c r="L208" s="3" t="s">
        <v>104</v>
      </c>
      <c r="M208" s="3" t="s">
        <v>90</v>
      </c>
      <c r="N208" s="3" t="s">
        <v>207</v>
      </c>
      <c r="O208" s="3" t="s">
        <v>148</v>
      </c>
      <c r="P208" s="3" t="s">
        <v>35</v>
      </c>
      <c r="Q208" s="3" t="s">
        <v>1484</v>
      </c>
      <c r="R208" s="3" t="s">
        <v>1485</v>
      </c>
      <c r="S208" s="3" t="s">
        <v>53</v>
      </c>
      <c r="T208" s="3" t="s">
        <v>68</v>
      </c>
    </row>
    <row r="209" spans="1:20" x14ac:dyDescent="0.3">
      <c r="A209" s="3" t="s">
        <v>1486</v>
      </c>
      <c r="B209" s="3" t="s">
        <v>495</v>
      </c>
      <c r="C209" s="3" t="s">
        <v>325</v>
      </c>
      <c r="D209" s="3" t="s">
        <v>154</v>
      </c>
      <c r="E209" s="3" t="s">
        <v>1487</v>
      </c>
      <c r="F209" s="3" t="s">
        <v>1488</v>
      </c>
      <c r="G209" s="3" t="s">
        <v>1489</v>
      </c>
      <c r="H209" s="3" t="s">
        <v>88</v>
      </c>
      <c r="I209" s="3" t="s">
        <v>88</v>
      </c>
      <c r="J209" s="3" t="s">
        <v>29</v>
      </c>
      <c r="K209" s="3" t="s">
        <v>220</v>
      </c>
      <c r="L209" s="3" t="s">
        <v>62</v>
      </c>
      <c r="M209" s="3" t="s">
        <v>90</v>
      </c>
      <c r="N209" s="3" t="s">
        <v>117</v>
      </c>
      <c r="O209" s="3" t="s">
        <v>34</v>
      </c>
      <c r="P209" s="3" t="s">
        <v>35</v>
      </c>
      <c r="Q209" s="3" t="s">
        <v>1490</v>
      </c>
      <c r="R209" s="3" t="s">
        <v>1491</v>
      </c>
      <c r="S209" s="3" t="s">
        <v>53</v>
      </c>
      <c r="T209" s="3" t="s">
        <v>68</v>
      </c>
    </row>
    <row r="210" spans="1:20" x14ac:dyDescent="0.3">
      <c r="A210" s="3" t="s">
        <v>1492</v>
      </c>
      <c r="B210" s="3" t="s">
        <v>436</v>
      </c>
      <c r="C210" s="3" t="s">
        <v>283</v>
      </c>
      <c r="D210" s="3" t="s">
        <v>241</v>
      </c>
      <c r="E210" s="3" t="s">
        <v>1493</v>
      </c>
      <c r="F210" s="3" t="s">
        <v>1494</v>
      </c>
      <c r="G210" s="3" t="s">
        <v>1495</v>
      </c>
      <c r="H210" s="3" t="s">
        <v>76</v>
      </c>
      <c r="I210" s="3" t="s">
        <v>28</v>
      </c>
      <c r="J210" s="3" t="s">
        <v>29</v>
      </c>
      <c r="K210" s="3" t="s">
        <v>30</v>
      </c>
      <c r="L210" s="3" t="s">
        <v>62</v>
      </c>
      <c r="M210" s="3" t="s">
        <v>63</v>
      </c>
      <c r="N210" s="3" t="s">
        <v>215</v>
      </c>
      <c r="O210" s="3" t="s">
        <v>92</v>
      </c>
      <c r="P210" s="3" t="s">
        <v>35</v>
      </c>
      <c r="Q210" s="3" t="s">
        <v>1496</v>
      </c>
      <c r="R210" s="3" t="s">
        <v>1497</v>
      </c>
      <c r="S210" s="3" t="s">
        <v>38</v>
      </c>
      <c r="T210" s="3" t="s">
        <v>68</v>
      </c>
    </row>
    <row r="211" spans="1:20" x14ac:dyDescent="0.3">
      <c r="A211" s="3" t="s">
        <v>1498</v>
      </c>
      <c r="B211" s="3" t="s">
        <v>232</v>
      </c>
      <c r="C211" s="3" t="s">
        <v>199</v>
      </c>
      <c r="D211" s="3" t="s">
        <v>98</v>
      </c>
      <c r="E211" s="3" t="s">
        <v>1499</v>
      </c>
      <c r="F211" s="3" t="s">
        <v>1500</v>
      </c>
      <c r="G211" s="3" t="s">
        <v>1501</v>
      </c>
      <c r="H211" s="3" t="s">
        <v>311</v>
      </c>
      <c r="I211" s="3" t="s">
        <v>102</v>
      </c>
      <c r="J211" s="3" t="s">
        <v>29</v>
      </c>
      <c r="K211" s="3" t="s">
        <v>30</v>
      </c>
      <c r="L211" s="3" t="s">
        <v>48</v>
      </c>
      <c r="M211" s="3" t="s">
        <v>116</v>
      </c>
      <c r="N211" s="3" t="s">
        <v>207</v>
      </c>
      <c r="O211" s="3" t="s">
        <v>92</v>
      </c>
      <c r="P211" s="3" t="s">
        <v>35</v>
      </c>
      <c r="Q211" s="3" t="s">
        <v>1502</v>
      </c>
      <c r="R211" s="3" t="s">
        <v>1503</v>
      </c>
      <c r="S211" s="3" t="s">
        <v>53</v>
      </c>
      <c r="T211" s="3" t="s">
        <v>248</v>
      </c>
    </row>
    <row r="212" spans="1:20" x14ac:dyDescent="0.3">
      <c r="A212" s="3" t="s">
        <v>1504</v>
      </c>
      <c r="B212" s="3" t="s">
        <v>939</v>
      </c>
      <c r="C212" s="3" t="s">
        <v>97</v>
      </c>
      <c r="D212" s="3" t="s">
        <v>84</v>
      </c>
      <c r="E212" s="3" t="s">
        <v>1505</v>
      </c>
      <c r="F212" s="3" t="s">
        <v>1506</v>
      </c>
      <c r="G212" s="3" t="s">
        <v>1507</v>
      </c>
      <c r="H212" s="3" t="s">
        <v>46</v>
      </c>
      <c r="I212" s="3" t="s">
        <v>102</v>
      </c>
      <c r="J212" s="3" t="s">
        <v>29</v>
      </c>
      <c r="K212" s="3" t="s">
        <v>220</v>
      </c>
      <c r="L212" s="3" t="s">
        <v>48</v>
      </c>
      <c r="M212" s="3" t="s">
        <v>90</v>
      </c>
      <c r="N212" s="3" t="s">
        <v>349</v>
      </c>
      <c r="O212" s="3" t="s">
        <v>65</v>
      </c>
      <c r="P212" s="3" t="s">
        <v>35</v>
      </c>
      <c r="Q212" s="3" t="s">
        <v>1508</v>
      </c>
      <c r="R212" s="3" t="s">
        <v>1509</v>
      </c>
      <c r="S212" s="3" t="s">
        <v>53</v>
      </c>
      <c r="T212" s="3" t="s">
        <v>39</v>
      </c>
    </row>
    <row r="213" spans="1:20" x14ac:dyDescent="0.3">
      <c r="A213" s="3" t="s">
        <v>1510</v>
      </c>
      <c r="B213" s="3" t="s">
        <v>976</v>
      </c>
      <c r="C213" s="3" t="s">
        <v>42</v>
      </c>
      <c r="D213" s="3" t="s">
        <v>189</v>
      </c>
      <c r="E213" s="3" t="s">
        <v>1511</v>
      </c>
      <c r="F213" s="3" t="s">
        <v>1512</v>
      </c>
      <c r="G213" s="3" t="s">
        <v>1513</v>
      </c>
      <c r="H213" s="3" t="s">
        <v>46</v>
      </c>
      <c r="I213" s="3" t="s">
        <v>102</v>
      </c>
      <c r="J213" s="3" t="s">
        <v>29</v>
      </c>
      <c r="K213" s="3" t="s">
        <v>103</v>
      </c>
      <c r="L213" s="3" t="s">
        <v>104</v>
      </c>
      <c r="M213" s="3" t="s">
        <v>116</v>
      </c>
      <c r="N213" s="3" t="s">
        <v>701</v>
      </c>
      <c r="O213" s="3" t="s">
        <v>34</v>
      </c>
      <c r="P213" s="3" t="s">
        <v>35</v>
      </c>
      <c r="Q213" s="3" t="s">
        <v>1514</v>
      </c>
      <c r="R213" s="3" t="s">
        <v>1515</v>
      </c>
      <c r="S213" s="3" t="s">
        <v>38</v>
      </c>
      <c r="T213" s="3" t="s">
        <v>39</v>
      </c>
    </row>
    <row r="214" spans="1:20" x14ac:dyDescent="0.3">
      <c r="A214" s="3" t="s">
        <v>1516</v>
      </c>
      <c r="B214" s="3" t="s">
        <v>1046</v>
      </c>
      <c r="C214" s="3" t="s">
        <v>22</v>
      </c>
      <c r="D214" s="3" t="s">
        <v>72</v>
      </c>
      <c r="E214" s="3" t="s">
        <v>1517</v>
      </c>
      <c r="F214" s="3" t="s">
        <v>1518</v>
      </c>
      <c r="G214" s="3" t="s">
        <v>1519</v>
      </c>
      <c r="H214" s="3" t="s">
        <v>311</v>
      </c>
      <c r="I214" s="3" t="s">
        <v>47</v>
      </c>
      <c r="J214" s="3" t="s">
        <v>29</v>
      </c>
      <c r="K214" s="3" t="s">
        <v>89</v>
      </c>
      <c r="L214" s="3" t="s">
        <v>104</v>
      </c>
      <c r="M214" s="3" t="s">
        <v>32</v>
      </c>
      <c r="N214" s="3" t="s">
        <v>759</v>
      </c>
      <c r="O214" s="3" t="s">
        <v>34</v>
      </c>
      <c r="P214" s="3" t="s">
        <v>35</v>
      </c>
      <c r="Q214" s="3" t="s">
        <v>1520</v>
      </c>
      <c r="R214" s="3" t="s">
        <v>1521</v>
      </c>
      <c r="S214" s="3" t="s">
        <v>38</v>
      </c>
      <c r="T214" s="3" t="s">
        <v>186</v>
      </c>
    </row>
    <row r="215" spans="1:20" x14ac:dyDescent="0.3">
      <c r="A215" s="3" t="s">
        <v>1522</v>
      </c>
      <c r="B215" s="3" t="s">
        <v>49</v>
      </c>
      <c r="C215" s="3" t="s">
        <v>216</v>
      </c>
      <c r="D215" s="3" t="s">
        <v>164</v>
      </c>
      <c r="E215" s="3" t="s">
        <v>1523</v>
      </c>
      <c r="F215" s="3" t="s">
        <v>1524</v>
      </c>
      <c r="G215" s="3" t="s">
        <v>1525</v>
      </c>
      <c r="H215" s="3" t="s">
        <v>88</v>
      </c>
      <c r="I215" s="3" t="s">
        <v>128</v>
      </c>
      <c r="J215" s="3" t="s">
        <v>29</v>
      </c>
      <c r="K215" s="3" t="s">
        <v>146</v>
      </c>
      <c r="L215" s="3" t="s">
        <v>104</v>
      </c>
      <c r="M215" s="3" t="s">
        <v>63</v>
      </c>
      <c r="N215" s="3" t="s">
        <v>129</v>
      </c>
      <c r="O215" s="3" t="s">
        <v>148</v>
      </c>
      <c r="P215" s="3" t="s">
        <v>35</v>
      </c>
      <c r="Q215" s="3" t="s">
        <v>1526</v>
      </c>
      <c r="R215" s="3" t="s">
        <v>1527</v>
      </c>
      <c r="S215" s="3" t="s">
        <v>53</v>
      </c>
      <c r="T215" s="3" t="s">
        <v>186</v>
      </c>
    </row>
    <row r="216" spans="1:20" x14ac:dyDescent="0.3">
      <c r="A216" s="3" t="s">
        <v>1528</v>
      </c>
      <c r="B216" s="3" t="s">
        <v>91</v>
      </c>
      <c r="C216" s="3" t="s">
        <v>180</v>
      </c>
      <c r="D216" s="3" t="s">
        <v>189</v>
      </c>
      <c r="E216" s="3" t="s">
        <v>1529</v>
      </c>
      <c r="F216" s="3" t="s">
        <v>1530</v>
      </c>
      <c r="G216" s="3" t="s">
        <v>1531</v>
      </c>
      <c r="H216" s="3" t="s">
        <v>158</v>
      </c>
      <c r="I216" s="3" t="s">
        <v>245</v>
      </c>
      <c r="J216" s="3" t="s">
        <v>29</v>
      </c>
      <c r="K216" s="3" t="s">
        <v>146</v>
      </c>
      <c r="L216" s="3" t="s">
        <v>115</v>
      </c>
      <c r="M216" s="3" t="s">
        <v>63</v>
      </c>
      <c r="N216" s="3" t="s">
        <v>277</v>
      </c>
      <c r="O216" s="3" t="s">
        <v>148</v>
      </c>
      <c r="P216" s="3" t="s">
        <v>35</v>
      </c>
      <c r="Q216" s="3" t="s">
        <v>1532</v>
      </c>
      <c r="R216" s="3" t="s">
        <v>1533</v>
      </c>
      <c r="S216" s="3" t="s">
        <v>38</v>
      </c>
      <c r="T216" s="3" t="s">
        <v>68</v>
      </c>
    </row>
    <row r="217" spans="1:20" x14ac:dyDescent="0.3">
      <c r="A217" s="3" t="s">
        <v>1534</v>
      </c>
      <c r="B217" s="3" t="s">
        <v>324</v>
      </c>
      <c r="C217" s="3" t="s">
        <v>325</v>
      </c>
      <c r="D217" s="3" t="s">
        <v>84</v>
      </c>
      <c r="E217" s="3" t="s">
        <v>1535</v>
      </c>
      <c r="F217" s="3" t="s">
        <v>1536</v>
      </c>
      <c r="G217" s="3" t="s">
        <v>1537</v>
      </c>
      <c r="H217" s="3" t="s">
        <v>60</v>
      </c>
      <c r="I217" s="3" t="s">
        <v>102</v>
      </c>
      <c r="J217" s="3" t="s">
        <v>29</v>
      </c>
      <c r="K217" s="3" t="s">
        <v>146</v>
      </c>
      <c r="L217" s="3" t="s">
        <v>48</v>
      </c>
      <c r="M217" s="3" t="s">
        <v>116</v>
      </c>
      <c r="N217" s="3" t="s">
        <v>273</v>
      </c>
      <c r="O217" s="3" t="s">
        <v>148</v>
      </c>
      <c r="P217" s="3" t="s">
        <v>35</v>
      </c>
      <c r="Q217" s="3" t="s">
        <v>1538</v>
      </c>
      <c r="R217" s="3" t="s">
        <v>1539</v>
      </c>
      <c r="S217" s="3" t="s">
        <v>53</v>
      </c>
      <c r="T217" s="3" t="s">
        <v>68</v>
      </c>
    </row>
    <row r="218" spans="1:20" x14ac:dyDescent="0.3">
      <c r="A218" s="3" t="s">
        <v>1540</v>
      </c>
      <c r="B218" s="3" t="s">
        <v>1207</v>
      </c>
      <c r="C218" s="3" t="s">
        <v>325</v>
      </c>
      <c r="D218" s="3" t="s">
        <v>124</v>
      </c>
      <c r="E218" s="3" t="s">
        <v>1541</v>
      </c>
      <c r="F218" s="3" t="s">
        <v>1542</v>
      </c>
      <c r="G218" s="3" t="s">
        <v>1543</v>
      </c>
      <c r="H218" s="3" t="s">
        <v>311</v>
      </c>
      <c r="I218" s="3" t="s">
        <v>245</v>
      </c>
      <c r="J218" s="3" t="s">
        <v>29</v>
      </c>
      <c r="K218" s="3" t="s">
        <v>61</v>
      </c>
      <c r="L218" s="3" t="s">
        <v>48</v>
      </c>
      <c r="M218" s="3" t="s">
        <v>116</v>
      </c>
      <c r="N218" s="3" t="s">
        <v>1410</v>
      </c>
      <c r="O218" s="3" t="s">
        <v>92</v>
      </c>
      <c r="P218" s="3" t="s">
        <v>35</v>
      </c>
      <c r="Q218" s="3" t="s">
        <v>1544</v>
      </c>
      <c r="R218" s="3" t="s">
        <v>1545</v>
      </c>
      <c r="S218" s="3" t="s">
        <v>38</v>
      </c>
      <c r="T218" s="3" t="s">
        <v>39</v>
      </c>
    </row>
    <row r="219" spans="1:20" x14ac:dyDescent="0.3">
      <c r="A219" s="3" t="s">
        <v>1546</v>
      </c>
      <c r="B219" s="3" t="s">
        <v>1016</v>
      </c>
      <c r="C219" s="3" t="s">
        <v>350</v>
      </c>
      <c r="D219" s="3" t="s">
        <v>164</v>
      </c>
      <c r="E219" s="3" t="s">
        <v>1547</v>
      </c>
      <c r="F219" s="3" t="s">
        <v>1548</v>
      </c>
      <c r="G219" s="3" t="s">
        <v>1549</v>
      </c>
      <c r="H219" s="3" t="s">
        <v>88</v>
      </c>
      <c r="I219" s="3" t="s">
        <v>128</v>
      </c>
      <c r="J219" s="3" t="s">
        <v>29</v>
      </c>
      <c r="K219" s="3" t="s">
        <v>103</v>
      </c>
      <c r="L219" s="3" t="s">
        <v>48</v>
      </c>
      <c r="M219" s="3" t="s">
        <v>116</v>
      </c>
      <c r="N219" s="3" t="s">
        <v>567</v>
      </c>
      <c r="O219" s="3" t="s">
        <v>65</v>
      </c>
      <c r="P219" s="3" t="s">
        <v>35</v>
      </c>
      <c r="Q219" s="3" t="s">
        <v>1550</v>
      </c>
      <c r="R219" s="3" t="s">
        <v>1551</v>
      </c>
      <c r="S219" s="3" t="s">
        <v>38</v>
      </c>
      <c r="T219" s="3" t="s">
        <v>39</v>
      </c>
    </row>
    <row r="220" spans="1:20" x14ac:dyDescent="0.3">
      <c r="A220" s="3" t="s">
        <v>1552</v>
      </c>
      <c r="B220" s="3" t="s">
        <v>969</v>
      </c>
      <c r="C220" s="3" t="s">
        <v>350</v>
      </c>
      <c r="D220" s="3" t="s">
        <v>135</v>
      </c>
      <c r="E220" s="3" t="s">
        <v>1553</v>
      </c>
      <c r="F220" s="3" t="s">
        <v>1554</v>
      </c>
      <c r="G220" s="3" t="s">
        <v>1555</v>
      </c>
      <c r="H220" s="3" t="s">
        <v>46</v>
      </c>
      <c r="I220" s="3" t="s">
        <v>28</v>
      </c>
      <c r="J220" s="3" t="s">
        <v>29</v>
      </c>
      <c r="K220" s="3" t="s">
        <v>61</v>
      </c>
      <c r="L220" s="3" t="s">
        <v>104</v>
      </c>
      <c r="M220" s="3" t="s">
        <v>116</v>
      </c>
      <c r="N220" s="3" t="s">
        <v>471</v>
      </c>
      <c r="O220" s="3" t="s">
        <v>148</v>
      </c>
      <c r="P220" s="3" t="s">
        <v>35</v>
      </c>
      <c r="Q220" s="3" t="s">
        <v>1556</v>
      </c>
      <c r="R220" s="3" t="s">
        <v>1557</v>
      </c>
      <c r="S220" s="3" t="s">
        <v>53</v>
      </c>
      <c r="T220" s="3" t="s">
        <v>186</v>
      </c>
    </row>
    <row r="221" spans="1:20" x14ac:dyDescent="0.3">
      <c r="A221" s="3" t="s">
        <v>1558</v>
      </c>
      <c r="B221" s="3" t="s">
        <v>82</v>
      </c>
      <c r="C221" s="3" t="s">
        <v>83</v>
      </c>
      <c r="D221" s="3" t="s">
        <v>84</v>
      </c>
      <c r="E221" s="3" t="s">
        <v>1559</v>
      </c>
      <c r="F221" s="3" t="s">
        <v>1560</v>
      </c>
      <c r="G221" s="3" t="s">
        <v>1561</v>
      </c>
      <c r="H221" s="3" t="s">
        <v>60</v>
      </c>
      <c r="I221" s="3" t="s">
        <v>88</v>
      </c>
      <c r="J221" s="3" t="s">
        <v>29</v>
      </c>
      <c r="K221" s="3" t="s">
        <v>220</v>
      </c>
      <c r="L221" s="3" t="s">
        <v>104</v>
      </c>
      <c r="M221" s="3" t="s">
        <v>32</v>
      </c>
      <c r="N221" s="3" t="s">
        <v>1307</v>
      </c>
      <c r="O221" s="3" t="s">
        <v>92</v>
      </c>
      <c r="P221" s="3" t="s">
        <v>35</v>
      </c>
      <c r="Q221" s="3" t="s">
        <v>1562</v>
      </c>
      <c r="R221" s="3" t="s">
        <v>1563</v>
      </c>
      <c r="S221" s="3" t="s">
        <v>53</v>
      </c>
      <c r="T221" s="3" t="s">
        <v>248</v>
      </c>
    </row>
    <row r="222" spans="1:20" x14ac:dyDescent="0.3">
      <c r="A222" s="3" t="s">
        <v>1564</v>
      </c>
      <c r="B222" s="3" t="s">
        <v>1039</v>
      </c>
      <c r="C222" s="3" t="s">
        <v>199</v>
      </c>
      <c r="D222" s="3" t="s">
        <v>124</v>
      </c>
      <c r="E222" s="3" t="s">
        <v>1565</v>
      </c>
      <c r="F222" s="3" t="s">
        <v>1566</v>
      </c>
      <c r="G222" s="3" t="s">
        <v>1567</v>
      </c>
      <c r="H222" s="3" t="s">
        <v>311</v>
      </c>
      <c r="I222" s="3" t="s">
        <v>28</v>
      </c>
      <c r="J222" s="3" t="s">
        <v>29</v>
      </c>
      <c r="K222" s="3" t="s">
        <v>89</v>
      </c>
      <c r="L222" s="3" t="s">
        <v>48</v>
      </c>
      <c r="M222" s="3" t="s">
        <v>32</v>
      </c>
      <c r="N222" s="3" t="s">
        <v>547</v>
      </c>
      <c r="O222" s="3" t="s">
        <v>148</v>
      </c>
      <c r="P222" s="3" t="s">
        <v>35</v>
      </c>
      <c r="Q222" s="3" t="s">
        <v>1568</v>
      </c>
      <c r="R222" s="3" t="s">
        <v>1569</v>
      </c>
      <c r="S222" s="3" t="s">
        <v>38</v>
      </c>
      <c r="T222" s="3" t="s">
        <v>151</v>
      </c>
    </row>
    <row r="223" spans="1:20" x14ac:dyDescent="0.3">
      <c r="A223" s="3" t="s">
        <v>1570</v>
      </c>
      <c r="B223" s="3" t="s">
        <v>554</v>
      </c>
      <c r="C223" s="3" t="s">
        <v>199</v>
      </c>
      <c r="D223" s="3" t="s">
        <v>154</v>
      </c>
      <c r="E223" s="3" t="s">
        <v>1571</v>
      </c>
      <c r="F223" s="3" t="s">
        <v>1572</v>
      </c>
      <c r="G223" s="3" t="s">
        <v>1573</v>
      </c>
      <c r="H223" s="3" t="s">
        <v>88</v>
      </c>
      <c r="I223" s="3" t="s">
        <v>88</v>
      </c>
      <c r="J223" s="3" t="s">
        <v>29</v>
      </c>
      <c r="K223" s="3" t="s">
        <v>89</v>
      </c>
      <c r="L223" s="3" t="s">
        <v>48</v>
      </c>
      <c r="M223" s="3" t="s">
        <v>32</v>
      </c>
      <c r="N223" s="3" t="s">
        <v>320</v>
      </c>
      <c r="O223" s="3" t="s">
        <v>34</v>
      </c>
      <c r="P223" s="3" t="s">
        <v>35</v>
      </c>
      <c r="Q223" s="3" t="s">
        <v>1574</v>
      </c>
      <c r="R223" s="3" t="s">
        <v>1575</v>
      </c>
      <c r="S223" s="3" t="s">
        <v>38</v>
      </c>
      <c r="T223" s="3" t="s">
        <v>151</v>
      </c>
    </row>
    <row r="224" spans="1:20" x14ac:dyDescent="0.3">
      <c r="A224" s="3" t="s">
        <v>1576</v>
      </c>
      <c r="B224" s="3" t="s">
        <v>813</v>
      </c>
      <c r="C224" s="3" t="s">
        <v>134</v>
      </c>
      <c r="D224" s="3" t="s">
        <v>154</v>
      </c>
      <c r="E224" s="3" t="s">
        <v>1577</v>
      </c>
      <c r="F224" s="3" t="s">
        <v>1578</v>
      </c>
      <c r="G224" s="3" t="s">
        <v>1579</v>
      </c>
      <c r="H224" s="3" t="s">
        <v>46</v>
      </c>
      <c r="I224" s="3" t="s">
        <v>88</v>
      </c>
      <c r="J224" s="3" t="s">
        <v>29</v>
      </c>
      <c r="K224" s="3" t="s">
        <v>89</v>
      </c>
      <c r="L224" s="3" t="s">
        <v>115</v>
      </c>
      <c r="M224" s="3" t="s">
        <v>116</v>
      </c>
      <c r="N224" s="3" t="s">
        <v>295</v>
      </c>
      <c r="O224" s="3" t="s">
        <v>50</v>
      </c>
      <c r="P224" s="3" t="s">
        <v>35</v>
      </c>
      <c r="Q224" s="3" t="s">
        <v>1580</v>
      </c>
      <c r="R224" s="3" t="s">
        <v>1581</v>
      </c>
      <c r="S224" s="3" t="s">
        <v>38</v>
      </c>
      <c r="T224" s="3" t="s">
        <v>248</v>
      </c>
    </row>
    <row r="225" spans="1:20" x14ac:dyDescent="0.3">
      <c r="A225" s="3" t="s">
        <v>1582</v>
      </c>
      <c r="B225" s="3" t="s">
        <v>1321</v>
      </c>
      <c r="C225" s="3" t="s">
        <v>258</v>
      </c>
      <c r="D225" s="3" t="s">
        <v>189</v>
      </c>
      <c r="E225" s="3" t="s">
        <v>1583</v>
      </c>
      <c r="F225" s="3" t="s">
        <v>1584</v>
      </c>
      <c r="G225" s="3" t="s">
        <v>1585</v>
      </c>
      <c r="H225" s="3" t="s">
        <v>60</v>
      </c>
      <c r="I225" s="3" t="s">
        <v>102</v>
      </c>
      <c r="J225" s="3" t="s">
        <v>29</v>
      </c>
      <c r="K225" s="3" t="s">
        <v>103</v>
      </c>
      <c r="L225" s="3" t="s">
        <v>62</v>
      </c>
      <c r="M225" s="3" t="s">
        <v>32</v>
      </c>
      <c r="N225" s="3" t="s">
        <v>1586</v>
      </c>
      <c r="O225" s="3" t="s">
        <v>34</v>
      </c>
      <c r="P225" s="3" t="s">
        <v>35</v>
      </c>
      <c r="Q225" s="3" t="s">
        <v>1587</v>
      </c>
      <c r="R225" s="3" t="s">
        <v>1588</v>
      </c>
      <c r="S225" s="3" t="s">
        <v>53</v>
      </c>
      <c r="T225" s="3" t="s">
        <v>39</v>
      </c>
    </row>
    <row r="226" spans="1:20" x14ac:dyDescent="0.3">
      <c r="A226" s="3" t="s">
        <v>1589</v>
      </c>
      <c r="B226" s="3" t="s">
        <v>652</v>
      </c>
      <c r="C226" s="3" t="s">
        <v>71</v>
      </c>
      <c r="D226" s="3" t="s">
        <v>135</v>
      </c>
      <c r="E226" s="3" t="s">
        <v>1590</v>
      </c>
      <c r="F226" s="3" t="s">
        <v>1591</v>
      </c>
      <c r="G226" s="3" t="s">
        <v>1592</v>
      </c>
      <c r="H226" s="3" t="s">
        <v>158</v>
      </c>
      <c r="I226" s="3" t="s">
        <v>245</v>
      </c>
      <c r="J226" s="3" t="s">
        <v>29</v>
      </c>
      <c r="K226" s="3" t="s">
        <v>103</v>
      </c>
      <c r="L226" s="3" t="s">
        <v>62</v>
      </c>
      <c r="M226" s="3" t="s">
        <v>63</v>
      </c>
      <c r="N226" s="3" t="s">
        <v>105</v>
      </c>
      <c r="O226" s="3" t="s">
        <v>34</v>
      </c>
      <c r="P226" s="3" t="s">
        <v>35</v>
      </c>
      <c r="Q226" s="3" t="s">
        <v>1593</v>
      </c>
      <c r="R226" s="3" t="s">
        <v>1594</v>
      </c>
      <c r="S226" s="3" t="s">
        <v>53</v>
      </c>
      <c r="T226" s="3" t="s">
        <v>186</v>
      </c>
    </row>
    <row r="227" spans="1:20" x14ac:dyDescent="0.3">
      <c r="A227" s="3" t="s">
        <v>1595</v>
      </c>
      <c r="B227" s="3" t="s">
        <v>506</v>
      </c>
      <c r="C227" s="3" t="s">
        <v>134</v>
      </c>
      <c r="D227" s="3" t="s">
        <v>241</v>
      </c>
      <c r="E227" s="3" t="s">
        <v>1596</v>
      </c>
      <c r="F227" s="3" t="s">
        <v>1597</v>
      </c>
      <c r="G227" s="3" t="s">
        <v>1598</v>
      </c>
      <c r="H227" s="3" t="s">
        <v>88</v>
      </c>
      <c r="I227" s="3" t="s">
        <v>102</v>
      </c>
      <c r="J227" s="3" t="s">
        <v>29</v>
      </c>
      <c r="K227" s="3" t="s">
        <v>220</v>
      </c>
      <c r="L227" s="3" t="s">
        <v>31</v>
      </c>
      <c r="M227" s="3" t="s">
        <v>116</v>
      </c>
      <c r="N227" s="3" t="s">
        <v>324</v>
      </c>
      <c r="O227" s="3" t="s">
        <v>92</v>
      </c>
      <c r="P227" s="3" t="s">
        <v>35</v>
      </c>
      <c r="Q227" s="3" t="s">
        <v>1599</v>
      </c>
      <c r="R227" s="3" t="s">
        <v>1600</v>
      </c>
      <c r="S227" s="3" t="s">
        <v>53</v>
      </c>
      <c r="T227" s="3" t="s">
        <v>68</v>
      </c>
    </row>
    <row r="228" spans="1:20" x14ac:dyDescent="0.3">
      <c r="A228" s="3" t="s">
        <v>1601</v>
      </c>
      <c r="B228" s="3" t="s">
        <v>939</v>
      </c>
      <c r="C228" s="3" t="s">
        <v>97</v>
      </c>
      <c r="D228" s="3" t="s">
        <v>84</v>
      </c>
      <c r="E228" s="3" t="s">
        <v>1602</v>
      </c>
      <c r="F228" s="3" t="s">
        <v>1603</v>
      </c>
      <c r="G228" s="3" t="s">
        <v>1604</v>
      </c>
      <c r="H228" s="3" t="s">
        <v>311</v>
      </c>
      <c r="I228" s="3" t="s">
        <v>128</v>
      </c>
      <c r="J228" s="3" t="s">
        <v>29</v>
      </c>
      <c r="K228" s="3" t="s">
        <v>30</v>
      </c>
      <c r="L228" s="3" t="s">
        <v>31</v>
      </c>
      <c r="M228" s="3" t="s">
        <v>32</v>
      </c>
      <c r="N228" s="3" t="s">
        <v>277</v>
      </c>
      <c r="O228" s="3" t="s">
        <v>148</v>
      </c>
      <c r="P228" s="3" t="s">
        <v>35</v>
      </c>
      <c r="Q228" s="3" t="s">
        <v>1605</v>
      </c>
      <c r="R228" s="3" t="s">
        <v>1606</v>
      </c>
      <c r="S228" s="3" t="s">
        <v>53</v>
      </c>
      <c r="T228" s="3" t="s">
        <v>248</v>
      </c>
    </row>
    <row r="229" spans="1:20" x14ac:dyDescent="0.3">
      <c r="A229" s="3" t="s">
        <v>1607</v>
      </c>
      <c r="B229" s="3" t="s">
        <v>844</v>
      </c>
      <c r="C229" s="3" t="s">
        <v>258</v>
      </c>
      <c r="D229" s="3" t="s">
        <v>124</v>
      </c>
      <c r="E229" s="3" t="s">
        <v>1608</v>
      </c>
      <c r="F229" s="3" t="s">
        <v>1609</v>
      </c>
      <c r="G229" s="3" t="s">
        <v>1610</v>
      </c>
      <c r="H229" s="3" t="s">
        <v>193</v>
      </c>
      <c r="I229" s="3" t="s">
        <v>102</v>
      </c>
      <c r="J229" s="3" t="s">
        <v>29</v>
      </c>
      <c r="K229" s="3" t="s">
        <v>30</v>
      </c>
      <c r="L229" s="3" t="s">
        <v>62</v>
      </c>
      <c r="M229" s="3" t="s">
        <v>63</v>
      </c>
      <c r="N229" s="3" t="s">
        <v>129</v>
      </c>
      <c r="O229" s="3" t="s">
        <v>106</v>
      </c>
      <c r="P229" s="3" t="s">
        <v>107</v>
      </c>
      <c r="Q229" s="3" t="s">
        <v>1611</v>
      </c>
      <c r="R229" s="3" t="s">
        <v>1612</v>
      </c>
      <c r="S229" s="3" t="s">
        <v>38</v>
      </c>
      <c r="T229" s="3" t="s">
        <v>80</v>
      </c>
    </row>
    <row r="230" spans="1:20" x14ac:dyDescent="0.3">
      <c r="A230" s="3" t="s">
        <v>1613</v>
      </c>
      <c r="B230" s="3" t="s">
        <v>21</v>
      </c>
      <c r="C230" s="3" t="s">
        <v>22</v>
      </c>
      <c r="D230" s="3" t="s">
        <v>23</v>
      </c>
      <c r="E230" s="3" t="s">
        <v>1614</v>
      </c>
      <c r="F230" s="3" t="s">
        <v>1615</v>
      </c>
      <c r="G230" s="3" t="s">
        <v>1616</v>
      </c>
      <c r="H230" s="3" t="s">
        <v>76</v>
      </c>
      <c r="I230" s="3" t="s">
        <v>245</v>
      </c>
      <c r="J230" s="3" t="s">
        <v>29</v>
      </c>
      <c r="K230" s="3" t="s">
        <v>103</v>
      </c>
      <c r="L230" s="3" t="s">
        <v>104</v>
      </c>
      <c r="M230" s="3" t="s">
        <v>116</v>
      </c>
      <c r="N230" s="3" t="s">
        <v>316</v>
      </c>
      <c r="O230" s="3" t="s">
        <v>34</v>
      </c>
      <c r="P230" s="3" t="s">
        <v>35</v>
      </c>
      <c r="Q230" s="3" t="s">
        <v>1617</v>
      </c>
      <c r="R230" s="3" t="s">
        <v>1618</v>
      </c>
      <c r="S230" s="3" t="s">
        <v>53</v>
      </c>
      <c r="T230" s="3" t="s">
        <v>151</v>
      </c>
    </row>
    <row r="231" spans="1:20" x14ac:dyDescent="0.3">
      <c r="A231" s="3" t="s">
        <v>1619</v>
      </c>
      <c r="B231" s="3" t="s">
        <v>250</v>
      </c>
      <c r="C231" s="3" t="s">
        <v>216</v>
      </c>
      <c r="D231" s="3" t="s">
        <v>23</v>
      </c>
      <c r="E231" s="3" t="s">
        <v>1620</v>
      </c>
      <c r="F231" s="3" t="s">
        <v>1621</v>
      </c>
      <c r="G231" s="3" t="s">
        <v>1622</v>
      </c>
      <c r="H231" s="3" t="s">
        <v>46</v>
      </c>
      <c r="I231" s="3" t="s">
        <v>47</v>
      </c>
      <c r="J231" s="3" t="s">
        <v>29</v>
      </c>
      <c r="K231" s="3" t="s">
        <v>103</v>
      </c>
      <c r="L231" s="3" t="s">
        <v>48</v>
      </c>
      <c r="M231" s="3" t="s">
        <v>90</v>
      </c>
      <c r="N231" s="3" t="s">
        <v>759</v>
      </c>
      <c r="O231" s="3" t="s">
        <v>278</v>
      </c>
      <c r="P231" s="3" t="s">
        <v>119</v>
      </c>
      <c r="Q231" s="3" t="s">
        <v>1623</v>
      </c>
      <c r="R231" s="3" t="s">
        <v>1624</v>
      </c>
      <c r="S231" s="3" t="s">
        <v>53</v>
      </c>
      <c r="T231" s="3" t="s">
        <v>80</v>
      </c>
    </row>
    <row r="232" spans="1:20" x14ac:dyDescent="0.3">
      <c r="A232" s="3" t="s">
        <v>1625</v>
      </c>
      <c r="B232" s="3" t="s">
        <v>153</v>
      </c>
      <c r="C232" s="3" t="s">
        <v>83</v>
      </c>
      <c r="D232" s="3" t="s">
        <v>154</v>
      </c>
      <c r="E232" s="3" t="s">
        <v>1626</v>
      </c>
      <c r="F232" s="3" t="s">
        <v>1627</v>
      </c>
      <c r="G232" s="3" t="s">
        <v>1628</v>
      </c>
      <c r="H232" s="3" t="s">
        <v>193</v>
      </c>
      <c r="I232" s="3" t="s">
        <v>245</v>
      </c>
      <c r="J232" s="3" t="s">
        <v>29</v>
      </c>
      <c r="K232" s="3" t="s">
        <v>61</v>
      </c>
      <c r="L232" s="3" t="s">
        <v>115</v>
      </c>
      <c r="M232" s="3" t="s">
        <v>63</v>
      </c>
      <c r="N232" s="3" t="s">
        <v>1459</v>
      </c>
      <c r="O232" s="3" t="s">
        <v>106</v>
      </c>
      <c r="P232" s="3" t="s">
        <v>107</v>
      </c>
      <c r="Q232" s="3" t="s">
        <v>1629</v>
      </c>
      <c r="R232" s="3" t="s">
        <v>1630</v>
      </c>
      <c r="S232" s="3" t="s">
        <v>38</v>
      </c>
      <c r="T232" s="3" t="s">
        <v>68</v>
      </c>
    </row>
    <row r="233" spans="1:20" x14ac:dyDescent="0.3">
      <c r="A233" s="3" t="s">
        <v>1631</v>
      </c>
      <c r="B233" s="3" t="s">
        <v>1459</v>
      </c>
      <c r="C233" s="3" t="s">
        <v>258</v>
      </c>
      <c r="D233" s="3" t="s">
        <v>135</v>
      </c>
      <c r="E233" s="3" t="s">
        <v>1632</v>
      </c>
      <c r="F233" s="3" t="s">
        <v>1633</v>
      </c>
      <c r="G233" s="3" t="s">
        <v>1634</v>
      </c>
      <c r="H233" s="3" t="s">
        <v>60</v>
      </c>
      <c r="I233" s="3" t="s">
        <v>128</v>
      </c>
      <c r="J233" s="3" t="s">
        <v>29</v>
      </c>
      <c r="K233" s="3" t="s">
        <v>61</v>
      </c>
      <c r="L233" s="3" t="s">
        <v>31</v>
      </c>
      <c r="M233" s="3" t="s">
        <v>32</v>
      </c>
      <c r="N233" s="3" t="s">
        <v>436</v>
      </c>
      <c r="O233" s="3" t="s">
        <v>148</v>
      </c>
      <c r="P233" s="3" t="s">
        <v>35</v>
      </c>
      <c r="Q233" s="3" t="s">
        <v>1635</v>
      </c>
      <c r="R233" s="3" t="s">
        <v>1636</v>
      </c>
      <c r="S233" s="3" t="s">
        <v>38</v>
      </c>
      <c r="T233" s="3" t="s">
        <v>151</v>
      </c>
    </row>
    <row r="234" spans="1:20" x14ac:dyDescent="0.3">
      <c r="A234" s="3" t="s">
        <v>1637</v>
      </c>
      <c r="B234" s="3" t="s">
        <v>1638</v>
      </c>
      <c r="C234" s="3" t="s">
        <v>216</v>
      </c>
      <c r="D234" s="3" t="s">
        <v>135</v>
      </c>
      <c r="E234" s="3" t="s">
        <v>1639</v>
      </c>
      <c r="F234" s="3" t="s">
        <v>1640</v>
      </c>
      <c r="G234" s="3" t="s">
        <v>1641</v>
      </c>
      <c r="H234" s="3" t="s">
        <v>60</v>
      </c>
      <c r="I234" s="3" t="s">
        <v>245</v>
      </c>
      <c r="J234" s="3" t="s">
        <v>29</v>
      </c>
      <c r="K234" s="3" t="s">
        <v>220</v>
      </c>
      <c r="L234" s="3" t="s">
        <v>104</v>
      </c>
      <c r="M234" s="3" t="s">
        <v>63</v>
      </c>
      <c r="N234" s="3" t="s">
        <v>1586</v>
      </c>
      <c r="O234" s="3" t="s">
        <v>148</v>
      </c>
      <c r="P234" s="3" t="s">
        <v>35</v>
      </c>
      <c r="Q234" s="3" t="s">
        <v>1642</v>
      </c>
      <c r="R234" s="3" t="s">
        <v>1643</v>
      </c>
      <c r="S234" s="3" t="s">
        <v>38</v>
      </c>
      <c r="T234" s="3" t="s">
        <v>39</v>
      </c>
    </row>
    <row r="235" spans="1:20" x14ac:dyDescent="0.3">
      <c r="A235" s="3" t="s">
        <v>1644</v>
      </c>
      <c r="B235" s="3" t="s">
        <v>888</v>
      </c>
      <c r="C235" s="3" t="s">
        <v>97</v>
      </c>
      <c r="D235" s="3" t="s">
        <v>72</v>
      </c>
      <c r="E235" s="3" t="s">
        <v>1645</v>
      </c>
      <c r="F235" s="3" t="s">
        <v>1646</v>
      </c>
      <c r="G235" s="3" t="s">
        <v>1647</v>
      </c>
      <c r="H235" s="3" t="s">
        <v>158</v>
      </c>
      <c r="I235" s="3" t="s">
        <v>102</v>
      </c>
      <c r="J235" s="3" t="s">
        <v>29</v>
      </c>
      <c r="K235" s="3" t="s">
        <v>220</v>
      </c>
      <c r="L235" s="3" t="s">
        <v>31</v>
      </c>
      <c r="M235" s="3" t="s">
        <v>32</v>
      </c>
      <c r="N235" s="3" t="s">
        <v>1009</v>
      </c>
      <c r="O235" s="3" t="s">
        <v>106</v>
      </c>
      <c r="P235" s="3" t="s">
        <v>107</v>
      </c>
      <c r="Q235" s="3" t="s">
        <v>1648</v>
      </c>
      <c r="R235" s="3" t="s">
        <v>1649</v>
      </c>
      <c r="S235" s="3" t="s">
        <v>53</v>
      </c>
      <c r="T235" s="3" t="s">
        <v>248</v>
      </c>
    </row>
    <row r="236" spans="1:20" x14ac:dyDescent="0.3">
      <c r="A236" s="3" t="s">
        <v>1650</v>
      </c>
      <c r="B236" s="3" t="s">
        <v>133</v>
      </c>
      <c r="C236" s="3" t="s">
        <v>134</v>
      </c>
      <c r="D236" s="3" t="s">
        <v>135</v>
      </c>
      <c r="E236" s="3" t="s">
        <v>1651</v>
      </c>
      <c r="F236" s="3" t="s">
        <v>1652</v>
      </c>
      <c r="G236" s="3" t="s">
        <v>1653</v>
      </c>
      <c r="H236" s="3" t="s">
        <v>88</v>
      </c>
      <c r="I236" s="3" t="s">
        <v>28</v>
      </c>
      <c r="J236" s="3" t="s">
        <v>29</v>
      </c>
      <c r="K236" s="3" t="s">
        <v>103</v>
      </c>
      <c r="L236" s="3" t="s">
        <v>104</v>
      </c>
      <c r="M236" s="3" t="s">
        <v>32</v>
      </c>
      <c r="N236" s="3" t="s">
        <v>844</v>
      </c>
      <c r="O236" s="3" t="s">
        <v>278</v>
      </c>
      <c r="P236" s="3" t="s">
        <v>119</v>
      </c>
      <c r="Q236" s="3" t="s">
        <v>1654</v>
      </c>
      <c r="R236" s="3" t="s">
        <v>1655</v>
      </c>
      <c r="S236" s="3" t="s">
        <v>53</v>
      </c>
      <c r="T236" s="3" t="s">
        <v>186</v>
      </c>
    </row>
    <row r="237" spans="1:20" x14ac:dyDescent="0.3">
      <c r="A237" s="3" t="s">
        <v>1656</v>
      </c>
      <c r="B237" s="3" t="s">
        <v>1207</v>
      </c>
      <c r="C237" s="3" t="s">
        <v>325</v>
      </c>
      <c r="D237" s="3" t="s">
        <v>124</v>
      </c>
      <c r="E237" s="3" t="s">
        <v>1657</v>
      </c>
      <c r="F237" s="3" t="s">
        <v>1658</v>
      </c>
      <c r="G237" s="3" t="s">
        <v>1659</v>
      </c>
      <c r="H237" s="3" t="s">
        <v>193</v>
      </c>
      <c r="I237" s="3" t="s">
        <v>128</v>
      </c>
      <c r="J237" s="3" t="s">
        <v>29</v>
      </c>
      <c r="K237" s="3" t="s">
        <v>89</v>
      </c>
      <c r="L237" s="3" t="s">
        <v>62</v>
      </c>
      <c r="M237" s="3" t="s">
        <v>116</v>
      </c>
      <c r="N237" s="3" t="s">
        <v>33</v>
      </c>
      <c r="O237" s="3" t="s">
        <v>106</v>
      </c>
      <c r="P237" s="3" t="s">
        <v>107</v>
      </c>
      <c r="Q237" s="3" t="s">
        <v>1660</v>
      </c>
      <c r="R237" s="3" t="s">
        <v>1661</v>
      </c>
      <c r="S237" s="3" t="s">
        <v>53</v>
      </c>
      <c r="T237" s="3" t="s">
        <v>80</v>
      </c>
    </row>
    <row r="238" spans="1:20" x14ac:dyDescent="0.3">
      <c r="A238" s="3" t="s">
        <v>1662</v>
      </c>
      <c r="B238" s="3" t="s">
        <v>459</v>
      </c>
      <c r="C238" s="3" t="s">
        <v>42</v>
      </c>
      <c r="D238" s="3" t="s">
        <v>164</v>
      </c>
      <c r="E238" s="3" t="s">
        <v>1663</v>
      </c>
      <c r="F238" s="3" t="s">
        <v>1664</v>
      </c>
      <c r="G238" s="3" t="s">
        <v>1665</v>
      </c>
      <c r="H238" s="3" t="s">
        <v>158</v>
      </c>
      <c r="I238" s="3" t="s">
        <v>114</v>
      </c>
      <c r="J238" s="3" t="s">
        <v>29</v>
      </c>
      <c r="K238" s="3" t="s">
        <v>61</v>
      </c>
      <c r="L238" s="3" t="s">
        <v>62</v>
      </c>
      <c r="M238" s="3" t="s">
        <v>63</v>
      </c>
      <c r="N238" s="3" t="s">
        <v>527</v>
      </c>
      <c r="O238" s="3" t="s">
        <v>34</v>
      </c>
      <c r="P238" s="3" t="s">
        <v>35</v>
      </c>
      <c r="Q238" s="3" t="s">
        <v>1666</v>
      </c>
      <c r="R238" s="3" t="s">
        <v>1667</v>
      </c>
      <c r="S238" s="3" t="s">
        <v>53</v>
      </c>
      <c r="T238" s="3" t="s">
        <v>186</v>
      </c>
    </row>
    <row r="239" spans="1:20" x14ac:dyDescent="0.3">
      <c r="A239" s="3" t="s">
        <v>1668</v>
      </c>
      <c r="B239" s="3" t="s">
        <v>1669</v>
      </c>
      <c r="C239" s="3" t="s">
        <v>83</v>
      </c>
      <c r="D239" s="3" t="s">
        <v>135</v>
      </c>
      <c r="E239" s="3" t="s">
        <v>1670</v>
      </c>
      <c r="F239" s="3" t="s">
        <v>1671</v>
      </c>
      <c r="G239" s="3" t="s">
        <v>1672</v>
      </c>
      <c r="H239" s="3" t="s">
        <v>60</v>
      </c>
      <c r="I239" s="3" t="s">
        <v>47</v>
      </c>
      <c r="J239" s="3" t="s">
        <v>29</v>
      </c>
      <c r="K239" s="3" t="s">
        <v>61</v>
      </c>
      <c r="L239" s="3" t="s">
        <v>115</v>
      </c>
      <c r="M239" s="3" t="s">
        <v>63</v>
      </c>
      <c r="N239" s="3" t="s">
        <v>159</v>
      </c>
      <c r="O239" s="3" t="s">
        <v>278</v>
      </c>
      <c r="P239" s="3" t="s">
        <v>119</v>
      </c>
      <c r="Q239" s="3" t="s">
        <v>1673</v>
      </c>
      <c r="R239" s="3" t="s">
        <v>1674</v>
      </c>
      <c r="S239" s="3" t="s">
        <v>38</v>
      </c>
      <c r="T239" s="3" t="s">
        <v>186</v>
      </c>
    </row>
    <row r="240" spans="1:20" x14ac:dyDescent="0.3">
      <c r="A240" s="3" t="s">
        <v>1675</v>
      </c>
      <c r="B240" s="3" t="s">
        <v>232</v>
      </c>
      <c r="C240" s="3" t="s">
        <v>199</v>
      </c>
      <c r="D240" s="3" t="s">
        <v>98</v>
      </c>
      <c r="E240" s="3" t="s">
        <v>1676</v>
      </c>
      <c r="F240" s="3" t="s">
        <v>1677</v>
      </c>
      <c r="G240" s="3" t="s">
        <v>1678</v>
      </c>
      <c r="H240" s="3" t="s">
        <v>88</v>
      </c>
      <c r="I240" s="3" t="s">
        <v>47</v>
      </c>
      <c r="J240" s="3" t="s">
        <v>29</v>
      </c>
      <c r="K240" s="3" t="s">
        <v>220</v>
      </c>
      <c r="L240" s="3" t="s">
        <v>48</v>
      </c>
      <c r="M240" s="3" t="s">
        <v>116</v>
      </c>
      <c r="N240" s="3" t="s">
        <v>153</v>
      </c>
      <c r="O240" s="3" t="s">
        <v>148</v>
      </c>
      <c r="P240" s="3" t="s">
        <v>35</v>
      </c>
      <c r="Q240" s="3" t="s">
        <v>1679</v>
      </c>
      <c r="R240" s="3" t="s">
        <v>1680</v>
      </c>
      <c r="S240" s="3" t="s">
        <v>38</v>
      </c>
      <c r="T240" s="3" t="s">
        <v>186</v>
      </c>
    </row>
    <row r="241" spans="1:20" x14ac:dyDescent="0.3">
      <c r="A241" s="3" t="s">
        <v>1681</v>
      </c>
      <c r="B241" s="3" t="s">
        <v>527</v>
      </c>
      <c r="C241" s="3" t="s">
        <v>22</v>
      </c>
      <c r="D241" s="3" t="s">
        <v>84</v>
      </c>
      <c r="E241" s="3" t="s">
        <v>1682</v>
      </c>
      <c r="F241" s="3" t="s">
        <v>1683</v>
      </c>
      <c r="G241" s="3" t="s">
        <v>1684</v>
      </c>
      <c r="H241" s="3" t="s">
        <v>76</v>
      </c>
      <c r="I241" s="3" t="s">
        <v>28</v>
      </c>
      <c r="J241" s="3" t="s">
        <v>29</v>
      </c>
      <c r="K241" s="3" t="s">
        <v>30</v>
      </c>
      <c r="L241" s="3" t="s">
        <v>104</v>
      </c>
      <c r="M241" s="3" t="s">
        <v>116</v>
      </c>
      <c r="N241" s="3" t="s">
        <v>1638</v>
      </c>
      <c r="O241" s="3" t="s">
        <v>278</v>
      </c>
      <c r="P241" s="3" t="s">
        <v>119</v>
      </c>
      <c r="Q241" s="3" t="s">
        <v>1685</v>
      </c>
      <c r="R241" s="3" t="s">
        <v>1686</v>
      </c>
      <c r="S241" s="3" t="s">
        <v>53</v>
      </c>
      <c r="T241" s="3" t="s">
        <v>68</v>
      </c>
    </row>
    <row r="242" spans="1:20" x14ac:dyDescent="0.3">
      <c r="A242" s="3" t="s">
        <v>1687</v>
      </c>
      <c r="B242" s="3" t="s">
        <v>537</v>
      </c>
      <c r="C242" s="3" t="s">
        <v>42</v>
      </c>
      <c r="D242" s="3" t="s">
        <v>135</v>
      </c>
      <c r="E242" s="3" t="s">
        <v>1688</v>
      </c>
      <c r="F242" s="3" t="s">
        <v>1689</v>
      </c>
      <c r="G242" s="3" t="s">
        <v>1690</v>
      </c>
      <c r="H242" s="3" t="s">
        <v>46</v>
      </c>
      <c r="I242" s="3" t="s">
        <v>245</v>
      </c>
      <c r="J242" s="3" t="s">
        <v>29</v>
      </c>
      <c r="K242" s="3" t="s">
        <v>89</v>
      </c>
      <c r="L242" s="3" t="s">
        <v>115</v>
      </c>
      <c r="M242" s="3" t="s">
        <v>116</v>
      </c>
      <c r="N242" s="3" t="s">
        <v>813</v>
      </c>
      <c r="O242" s="3" t="s">
        <v>65</v>
      </c>
      <c r="P242" s="3" t="s">
        <v>35</v>
      </c>
      <c r="Q242" s="3" t="s">
        <v>1691</v>
      </c>
      <c r="R242" s="3" t="s">
        <v>1692</v>
      </c>
      <c r="S242" s="3" t="s">
        <v>38</v>
      </c>
      <c r="T242" s="3" t="s">
        <v>248</v>
      </c>
    </row>
    <row r="243" spans="1:20" x14ac:dyDescent="0.3">
      <c r="A243" s="3" t="s">
        <v>1693</v>
      </c>
      <c r="B243" s="3" t="s">
        <v>837</v>
      </c>
      <c r="C243" s="3" t="s">
        <v>350</v>
      </c>
      <c r="D243" s="3" t="s">
        <v>241</v>
      </c>
      <c r="E243" s="3" t="s">
        <v>1694</v>
      </c>
      <c r="F243" s="3" t="s">
        <v>1695</v>
      </c>
      <c r="G243" s="3" t="s">
        <v>1696</v>
      </c>
      <c r="H243" s="3" t="s">
        <v>193</v>
      </c>
      <c r="I243" s="3" t="s">
        <v>88</v>
      </c>
      <c r="J243" s="3" t="s">
        <v>29</v>
      </c>
      <c r="K243" s="3" t="s">
        <v>30</v>
      </c>
      <c r="L243" s="3" t="s">
        <v>115</v>
      </c>
      <c r="M243" s="3" t="s">
        <v>90</v>
      </c>
      <c r="N243" s="3" t="s">
        <v>911</v>
      </c>
      <c r="O243" s="3" t="s">
        <v>106</v>
      </c>
      <c r="P243" s="3" t="s">
        <v>107</v>
      </c>
      <c r="Q243" s="3" t="s">
        <v>1697</v>
      </c>
      <c r="R243" s="3" t="s">
        <v>1698</v>
      </c>
      <c r="S243" s="3" t="s">
        <v>38</v>
      </c>
      <c r="T243" s="3" t="s">
        <v>151</v>
      </c>
    </row>
    <row r="244" spans="1:20" x14ac:dyDescent="0.3">
      <c r="A244" s="3" t="s">
        <v>1699</v>
      </c>
      <c r="B244" s="3" t="s">
        <v>139</v>
      </c>
      <c r="C244" s="3" t="s">
        <v>83</v>
      </c>
      <c r="D244" s="3" t="s">
        <v>23</v>
      </c>
      <c r="E244" s="3" t="s">
        <v>1700</v>
      </c>
      <c r="F244" s="3" t="s">
        <v>1701</v>
      </c>
      <c r="G244" s="3" t="s">
        <v>1702</v>
      </c>
      <c r="H244" s="3" t="s">
        <v>76</v>
      </c>
      <c r="I244" s="3" t="s">
        <v>88</v>
      </c>
      <c r="J244" s="3" t="s">
        <v>29</v>
      </c>
      <c r="K244" s="3" t="s">
        <v>30</v>
      </c>
      <c r="L244" s="3" t="s">
        <v>31</v>
      </c>
      <c r="M244" s="3" t="s">
        <v>32</v>
      </c>
      <c r="N244" s="3" t="s">
        <v>620</v>
      </c>
      <c r="O244" s="3" t="s">
        <v>34</v>
      </c>
      <c r="P244" s="3" t="s">
        <v>35</v>
      </c>
      <c r="Q244" s="3" t="s">
        <v>1703</v>
      </c>
      <c r="R244" s="3" t="s">
        <v>1704</v>
      </c>
      <c r="S244" s="3" t="s">
        <v>38</v>
      </c>
      <c r="T244" s="3" t="s">
        <v>151</v>
      </c>
    </row>
    <row r="245" spans="1:20" x14ac:dyDescent="0.3">
      <c r="A245" s="3" t="s">
        <v>1705</v>
      </c>
      <c r="B245" s="3" t="s">
        <v>1207</v>
      </c>
      <c r="C245" s="3" t="s">
        <v>325</v>
      </c>
      <c r="D245" s="3" t="s">
        <v>124</v>
      </c>
      <c r="E245" s="3" t="s">
        <v>1706</v>
      </c>
      <c r="F245" s="3" t="s">
        <v>1707</v>
      </c>
      <c r="G245" s="3" t="s">
        <v>1708</v>
      </c>
      <c r="H245" s="3" t="s">
        <v>88</v>
      </c>
      <c r="I245" s="3" t="s">
        <v>47</v>
      </c>
      <c r="J245" s="3" t="s">
        <v>29</v>
      </c>
      <c r="K245" s="3" t="s">
        <v>61</v>
      </c>
      <c r="L245" s="3" t="s">
        <v>115</v>
      </c>
      <c r="M245" s="3" t="s">
        <v>32</v>
      </c>
      <c r="N245" s="3" t="s">
        <v>520</v>
      </c>
      <c r="O245" s="3" t="s">
        <v>92</v>
      </c>
      <c r="P245" s="3" t="s">
        <v>35</v>
      </c>
      <c r="Q245" s="3" t="s">
        <v>1709</v>
      </c>
      <c r="R245" s="3" t="s">
        <v>1710</v>
      </c>
      <c r="S245" s="3" t="s">
        <v>38</v>
      </c>
      <c r="T245" s="3" t="s">
        <v>39</v>
      </c>
    </row>
    <row r="246" spans="1:20" x14ac:dyDescent="0.3">
      <c r="A246" s="3" t="s">
        <v>1711</v>
      </c>
      <c r="B246" s="3" t="s">
        <v>1638</v>
      </c>
      <c r="C246" s="3" t="s">
        <v>216</v>
      </c>
      <c r="D246" s="3" t="s">
        <v>135</v>
      </c>
      <c r="E246" s="3" t="s">
        <v>1712</v>
      </c>
      <c r="F246" s="3" t="s">
        <v>1713</v>
      </c>
      <c r="G246" s="3" t="s">
        <v>1714</v>
      </c>
      <c r="H246" s="3" t="s">
        <v>46</v>
      </c>
      <c r="I246" s="3" t="s">
        <v>28</v>
      </c>
      <c r="J246" s="3" t="s">
        <v>29</v>
      </c>
      <c r="K246" s="3" t="s">
        <v>146</v>
      </c>
      <c r="L246" s="3" t="s">
        <v>48</v>
      </c>
      <c r="M246" s="3" t="s">
        <v>116</v>
      </c>
      <c r="N246" s="3" t="s">
        <v>382</v>
      </c>
      <c r="O246" s="3" t="s">
        <v>278</v>
      </c>
      <c r="P246" s="3" t="s">
        <v>119</v>
      </c>
      <c r="Q246" s="3" t="s">
        <v>1715</v>
      </c>
      <c r="R246" s="3" t="s">
        <v>1716</v>
      </c>
      <c r="S246" s="3" t="s">
        <v>38</v>
      </c>
      <c r="T246" s="3" t="s">
        <v>80</v>
      </c>
    </row>
    <row r="247" spans="1:20" x14ac:dyDescent="0.3">
      <c r="A247" s="3" t="s">
        <v>1717</v>
      </c>
      <c r="B247" s="3" t="s">
        <v>70</v>
      </c>
      <c r="C247" s="3" t="s">
        <v>71</v>
      </c>
      <c r="D247" s="3" t="s">
        <v>72</v>
      </c>
      <c r="E247" s="3" t="s">
        <v>1718</v>
      </c>
      <c r="F247" s="3" t="s">
        <v>1719</v>
      </c>
      <c r="G247" s="3" t="s">
        <v>1720</v>
      </c>
      <c r="H247" s="3" t="s">
        <v>27</v>
      </c>
      <c r="I247" s="3" t="s">
        <v>47</v>
      </c>
      <c r="J247" s="3" t="s">
        <v>29</v>
      </c>
      <c r="K247" s="3" t="s">
        <v>30</v>
      </c>
      <c r="L247" s="3" t="s">
        <v>48</v>
      </c>
      <c r="M247" s="3" t="s">
        <v>32</v>
      </c>
      <c r="N247" s="3" t="s">
        <v>602</v>
      </c>
      <c r="O247" s="3" t="s">
        <v>50</v>
      </c>
      <c r="P247" s="3" t="s">
        <v>35</v>
      </c>
      <c r="Q247" s="3" t="s">
        <v>1721</v>
      </c>
      <c r="R247" s="3" t="s">
        <v>1722</v>
      </c>
      <c r="S247" s="3" t="s">
        <v>53</v>
      </c>
      <c r="T247" s="3" t="s">
        <v>151</v>
      </c>
    </row>
    <row r="248" spans="1:20" x14ac:dyDescent="0.3">
      <c r="A248" s="3" t="s">
        <v>1723</v>
      </c>
      <c r="B248" s="3" t="s">
        <v>349</v>
      </c>
      <c r="C248" s="3" t="s">
        <v>350</v>
      </c>
      <c r="D248" s="3" t="s">
        <v>98</v>
      </c>
      <c r="E248" s="3" t="s">
        <v>1724</v>
      </c>
      <c r="F248" s="3" t="s">
        <v>1725</v>
      </c>
      <c r="G248" s="3" t="s">
        <v>1726</v>
      </c>
      <c r="H248" s="3" t="s">
        <v>27</v>
      </c>
      <c r="I248" s="3" t="s">
        <v>245</v>
      </c>
      <c r="J248" s="3" t="s">
        <v>29</v>
      </c>
      <c r="K248" s="3" t="s">
        <v>89</v>
      </c>
      <c r="L248" s="3" t="s">
        <v>104</v>
      </c>
      <c r="M248" s="3" t="s">
        <v>116</v>
      </c>
      <c r="N248" s="3" t="s">
        <v>996</v>
      </c>
      <c r="O248" s="3" t="s">
        <v>92</v>
      </c>
      <c r="P248" s="3" t="s">
        <v>35</v>
      </c>
      <c r="Q248" s="3" t="s">
        <v>1727</v>
      </c>
      <c r="R248" s="3" t="s">
        <v>1728</v>
      </c>
      <c r="S248" s="3" t="s">
        <v>38</v>
      </c>
      <c r="T248" s="3" t="s">
        <v>186</v>
      </c>
    </row>
    <row r="249" spans="1:20" x14ac:dyDescent="0.3">
      <c r="A249" s="3" t="s">
        <v>1729</v>
      </c>
      <c r="B249" s="3" t="s">
        <v>163</v>
      </c>
      <c r="C249" s="3" t="s">
        <v>71</v>
      </c>
      <c r="D249" s="3" t="s">
        <v>164</v>
      </c>
      <c r="E249" s="3" t="s">
        <v>1730</v>
      </c>
      <c r="F249" s="3" t="s">
        <v>1731</v>
      </c>
      <c r="G249" s="3" t="s">
        <v>1732</v>
      </c>
      <c r="H249" s="3" t="s">
        <v>158</v>
      </c>
      <c r="I249" s="3" t="s">
        <v>102</v>
      </c>
      <c r="J249" s="3" t="s">
        <v>29</v>
      </c>
      <c r="K249" s="3" t="s">
        <v>30</v>
      </c>
      <c r="L249" s="3" t="s">
        <v>104</v>
      </c>
      <c r="M249" s="3" t="s">
        <v>90</v>
      </c>
      <c r="N249" s="3" t="s">
        <v>463</v>
      </c>
      <c r="O249" s="3" t="s">
        <v>278</v>
      </c>
      <c r="P249" s="3" t="s">
        <v>119</v>
      </c>
      <c r="Q249" s="3" t="s">
        <v>1733</v>
      </c>
      <c r="R249" s="3" t="s">
        <v>1734</v>
      </c>
      <c r="S249" s="3" t="s">
        <v>53</v>
      </c>
      <c r="T249" s="3" t="s">
        <v>39</v>
      </c>
    </row>
    <row r="250" spans="1:20" x14ac:dyDescent="0.3">
      <c r="A250" s="3" t="s">
        <v>1735</v>
      </c>
      <c r="B250" s="3" t="s">
        <v>153</v>
      </c>
      <c r="C250" s="3" t="s">
        <v>83</v>
      </c>
      <c r="D250" s="3" t="s">
        <v>154</v>
      </c>
      <c r="E250" s="3" t="s">
        <v>1736</v>
      </c>
      <c r="F250" s="3" t="s">
        <v>1737</v>
      </c>
      <c r="G250" s="3" t="s">
        <v>1738</v>
      </c>
      <c r="H250" s="3" t="s">
        <v>46</v>
      </c>
      <c r="I250" s="3" t="s">
        <v>28</v>
      </c>
      <c r="J250" s="3" t="s">
        <v>29</v>
      </c>
      <c r="K250" s="3" t="s">
        <v>146</v>
      </c>
      <c r="L250" s="3" t="s">
        <v>104</v>
      </c>
      <c r="M250" s="3" t="s">
        <v>32</v>
      </c>
      <c r="N250" s="3" t="s">
        <v>168</v>
      </c>
      <c r="O250" s="3" t="s">
        <v>106</v>
      </c>
      <c r="P250" s="3" t="s">
        <v>107</v>
      </c>
      <c r="Q250" s="3" t="s">
        <v>1739</v>
      </c>
      <c r="R250" s="3" t="s">
        <v>1740</v>
      </c>
      <c r="S250" s="3" t="s">
        <v>38</v>
      </c>
      <c r="T250" s="3" t="s">
        <v>151</v>
      </c>
    </row>
    <row r="251" spans="1:20" x14ac:dyDescent="0.3">
      <c r="A251" s="3" t="s">
        <v>1741</v>
      </c>
      <c r="B251" s="3" t="s">
        <v>179</v>
      </c>
      <c r="C251" s="3" t="s">
        <v>180</v>
      </c>
      <c r="D251" s="3" t="s">
        <v>124</v>
      </c>
      <c r="E251" s="3" t="s">
        <v>1742</v>
      </c>
      <c r="F251" s="3" t="s">
        <v>1743</v>
      </c>
      <c r="G251" s="3" t="s">
        <v>1744</v>
      </c>
      <c r="H251" s="3" t="s">
        <v>46</v>
      </c>
      <c r="I251" s="3" t="s">
        <v>47</v>
      </c>
      <c r="J251" s="3" t="s">
        <v>29</v>
      </c>
      <c r="K251" s="3" t="s">
        <v>220</v>
      </c>
      <c r="L251" s="3" t="s">
        <v>115</v>
      </c>
      <c r="M251" s="3" t="s">
        <v>116</v>
      </c>
      <c r="N251" s="3" t="s">
        <v>345</v>
      </c>
      <c r="O251" s="3" t="s">
        <v>34</v>
      </c>
      <c r="P251" s="3" t="s">
        <v>35</v>
      </c>
      <c r="Q251" s="3" t="s">
        <v>1745</v>
      </c>
      <c r="R251" s="3" t="s">
        <v>1746</v>
      </c>
      <c r="S251" s="3" t="s">
        <v>53</v>
      </c>
      <c r="T251" s="3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tabSelected="1" zoomScaleNormal="100" workbookViewId="0">
      <pane ySplit="1" topLeftCell="A2" activePane="bottomLeft" state="frozen"/>
      <selection pane="bottomLeft" activeCell="G52" sqref="G52"/>
    </sheetView>
  </sheetViews>
  <sheetFormatPr defaultColWidth="8.6640625" defaultRowHeight="14.4" x14ac:dyDescent="0.3"/>
  <cols>
    <col min="1" max="2" width="6" customWidth="1"/>
    <col min="3" max="3" width="42" customWidth="1"/>
    <col min="4" max="4" width="18" customWidth="1"/>
    <col min="5" max="5" width="16" customWidth="1"/>
    <col min="6" max="6" width="55" customWidth="1"/>
    <col min="7" max="7" width="26" customWidth="1"/>
  </cols>
  <sheetData>
    <row r="1" spans="1:7" ht="27.6" x14ac:dyDescent="0.3">
      <c r="A1" s="2" t="s">
        <v>1747</v>
      </c>
      <c r="B1" s="2" t="s">
        <v>1748</v>
      </c>
      <c r="C1" s="2" t="s">
        <v>1749</v>
      </c>
      <c r="D1" s="2" t="s">
        <v>1750</v>
      </c>
      <c r="E1" s="2" t="s">
        <v>1751</v>
      </c>
      <c r="F1" s="2" t="s">
        <v>1752</v>
      </c>
      <c r="G1" s="2" t="s">
        <v>1753</v>
      </c>
    </row>
    <row r="2" spans="1:7" ht="15.6" x14ac:dyDescent="0.3">
      <c r="A2" s="1" t="s">
        <v>1754</v>
      </c>
      <c r="B2" s="1"/>
      <c r="C2" s="1"/>
      <c r="D2" s="1"/>
      <c r="E2" s="1"/>
      <c r="F2" s="1"/>
      <c r="G2" s="1"/>
    </row>
    <row r="3" spans="1:7" x14ac:dyDescent="0.3">
      <c r="A3" s="4"/>
      <c r="B3" s="5" t="s">
        <v>1755</v>
      </c>
      <c r="C3" s="5" t="s">
        <v>1756</v>
      </c>
      <c r="D3" s="5" t="s">
        <v>1757</v>
      </c>
      <c r="E3" s="6" t="s">
        <v>20</v>
      </c>
      <c r="F3" s="5" t="s">
        <v>1758</v>
      </c>
      <c r="G3" s="7" t="str">
        <f>LEFT(E3,3)</f>
        <v>EMP</v>
      </c>
    </row>
    <row r="4" spans="1:7" x14ac:dyDescent="0.3">
      <c r="A4" s="4"/>
      <c r="B4" s="5" t="s">
        <v>1759</v>
      </c>
      <c r="C4" s="5" t="s">
        <v>1760</v>
      </c>
      <c r="D4" s="5" t="s">
        <v>1761</v>
      </c>
      <c r="E4" s="6" t="s">
        <v>20</v>
      </c>
      <c r="F4" s="5" t="s">
        <v>1762</v>
      </c>
      <c r="G4" s="7" t="str">
        <f>RIGHT(E4,4)</f>
        <v>0001</v>
      </c>
    </row>
    <row r="5" spans="1:7" ht="28.8" x14ac:dyDescent="0.3">
      <c r="A5" s="4"/>
      <c r="B5" s="5" t="s">
        <v>1763</v>
      </c>
      <c r="C5" s="5" t="s">
        <v>1764</v>
      </c>
      <c r="D5" s="5" t="s">
        <v>1757</v>
      </c>
      <c r="E5" s="6" t="s">
        <v>20</v>
      </c>
      <c r="F5" s="5" t="s">
        <v>1765</v>
      </c>
      <c r="G5" s="7" t="str">
        <f>LEFT(INDEX(Employee_Text_Data!F:F,MATCH(E5,Employee_Text_Data!A:A,0)),5)</f>
        <v>98606</v>
      </c>
    </row>
    <row r="6" spans="1:7" ht="28.8" x14ac:dyDescent="0.3">
      <c r="A6" s="4"/>
      <c r="B6" s="5" t="s">
        <v>1766</v>
      </c>
      <c r="C6" s="5" t="s">
        <v>1767</v>
      </c>
      <c r="D6" s="5" t="s">
        <v>1761</v>
      </c>
      <c r="E6" s="6" t="s">
        <v>20</v>
      </c>
      <c r="F6" s="5" t="s">
        <v>1768</v>
      </c>
      <c r="G6" s="7" t="str">
        <f>RIGHT(INDEX(Employee_Text_Data!F:F,MATCH(E6,Employee_Text_Data!A:A,0)),4)</f>
        <v>2579</v>
      </c>
    </row>
    <row r="7" spans="1:7" ht="28.8" x14ac:dyDescent="0.3">
      <c r="A7" s="4"/>
      <c r="B7" s="5" t="s">
        <v>1769</v>
      </c>
      <c r="C7" s="5" t="s">
        <v>1770</v>
      </c>
      <c r="D7" s="5" t="s">
        <v>1757</v>
      </c>
      <c r="E7" s="6" t="s">
        <v>20</v>
      </c>
      <c r="F7" s="5" t="s">
        <v>1771</v>
      </c>
      <c r="G7" s="7" t="str">
        <f>LEFT(INDEX(Employee_Text_Data!Q:Q,MATCH(E7,Employee_Text_Data!A:A,0)),6)</f>
        <v>ABCDE2</v>
      </c>
    </row>
    <row r="8" spans="1:7" ht="28.8" x14ac:dyDescent="0.3">
      <c r="A8" s="4"/>
      <c r="B8" s="5" t="s">
        <v>1772</v>
      </c>
      <c r="C8" s="5" t="s">
        <v>1773</v>
      </c>
      <c r="D8" s="5" t="s">
        <v>1761</v>
      </c>
      <c r="E8" s="6" t="s">
        <v>20</v>
      </c>
      <c r="F8" s="5" t="s">
        <v>1774</v>
      </c>
      <c r="G8" s="7" t="str">
        <f>RIGHT(INDEX(Employee_Text_Data!R:R,MATCH(E8,Employee_Text_Data!A:A,0)),4)</f>
        <v>6009</v>
      </c>
    </row>
    <row r="9" spans="1:7" ht="57.6" x14ac:dyDescent="0.3">
      <c r="A9" s="4"/>
      <c r="B9" s="5" t="s">
        <v>1775</v>
      </c>
      <c r="C9" s="5" t="s">
        <v>1776</v>
      </c>
      <c r="D9" s="5" t="s">
        <v>1777</v>
      </c>
      <c r="E9" s="6" t="s">
        <v>20</v>
      </c>
      <c r="F9" s="5" t="s">
        <v>1778</v>
      </c>
      <c r="G9" s="7" t="str">
        <f>LEFT(INDEX(Employee_Text_Data!B:B,MATCH(E9,Employee_Text_Data!A:A,0)),FIND(" ",INDEX(Employee_Text_Data!B:B,MATCH(E9,Employee_Text_Data!A:A,0)))-1)</f>
        <v>Rohit</v>
      </c>
    </row>
    <row r="10" spans="1:7" ht="72" x14ac:dyDescent="0.3">
      <c r="A10" s="4"/>
      <c r="B10" s="5" t="s">
        <v>1779</v>
      </c>
      <c r="C10" s="5" t="s">
        <v>1780</v>
      </c>
      <c r="D10" s="5" t="s">
        <v>1781</v>
      </c>
      <c r="E10" s="6" t="s">
        <v>20</v>
      </c>
      <c r="F10" s="5" t="s">
        <v>1782</v>
      </c>
      <c r="G10" s="7" t="str">
        <f>MID(INDEX(Employee_Text_Data!B:B,MATCH(E10,Employee_Text_Data!A:A,0)),FIND(" ",INDEX(Employee_Text_Data!B:B,MATCH(E10,Employee_Text_Data!A:A,0)))+1,LEN(INDEX(Employee_Text_Data!B:B,MATCH(E10,Employee_Text_Data!A:A,0))))</f>
        <v>Jain</v>
      </c>
    </row>
    <row r="11" spans="1:7" ht="28.8" x14ac:dyDescent="0.3">
      <c r="A11" s="4"/>
      <c r="B11" s="5" t="s">
        <v>1783</v>
      </c>
      <c r="C11" s="5" t="s">
        <v>1784</v>
      </c>
      <c r="D11" s="5" t="s">
        <v>1785</v>
      </c>
      <c r="E11" s="6" t="s">
        <v>20</v>
      </c>
      <c r="F11" s="5" t="s">
        <v>1786</v>
      </c>
      <c r="G11" s="7">
        <f>LEN(INDEX(Employee_Text_Data!B:B,MATCH(E11,Employee_Text_Data!A:A,0)))</f>
        <v>10</v>
      </c>
    </row>
    <row r="12" spans="1:7" ht="28.8" x14ac:dyDescent="0.3">
      <c r="A12" s="4"/>
      <c r="B12" s="5" t="s">
        <v>1787</v>
      </c>
      <c r="C12" s="5" t="s">
        <v>1788</v>
      </c>
      <c r="D12" s="5" t="s">
        <v>1785</v>
      </c>
      <c r="E12" s="6" t="s">
        <v>20</v>
      </c>
      <c r="F12" s="5" t="s">
        <v>1789</v>
      </c>
      <c r="G12" s="7">
        <f>LEN(INDEX(Employee_Text_Data!E:E,MATCH(E12,Employee_Text_Data!A:A,0)))</f>
        <v>23</v>
      </c>
    </row>
    <row r="13" spans="1:7" ht="15.6" x14ac:dyDescent="0.3">
      <c r="A13" s="1" t="s">
        <v>1790</v>
      </c>
      <c r="B13" s="1"/>
      <c r="C13" s="1"/>
      <c r="D13" s="1"/>
      <c r="E13" s="1"/>
      <c r="F13" s="1"/>
      <c r="G13" s="1"/>
    </row>
    <row r="14" spans="1:7" ht="28.8" x14ac:dyDescent="0.3">
      <c r="A14" s="8"/>
      <c r="B14" s="5" t="s">
        <v>1791</v>
      </c>
      <c r="C14" s="5" t="s">
        <v>1792</v>
      </c>
      <c r="D14" s="5" t="s">
        <v>1793</v>
      </c>
      <c r="E14" s="6" t="s">
        <v>20</v>
      </c>
      <c r="F14" s="5" t="s">
        <v>1794</v>
      </c>
      <c r="G14" s="7" t="str">
        <f>TRIM(INDEX(Employee_Text_Data!T:T,MATCH(E14,Employee_Text_Data!A:A,0)))</f>
        <v>Active Employee</v>
      </c>
    </row>
    <row r="15" spans="1:7" ht="28.8" x14ac:dyDescent="0.3">
      <c r="A15" s="8"/>
      <c r="B15" s="5" t="s">
        <v>1795</v>
      </c>
      <c r="C15" s="5" t="s">
        <v>1796</v>
      </c>
      <c r="D15" s="5" t="s">
        <v>1793</v>
      </c>
      <c r="E15" s="6" t="s">
        <v>20</v>
      </c>
      <c r="F15" s="5" t="s">
        <v>1797</v>
      </c>
      <c r="G15" s="7" t="str">
        <f>TRIM(INDEX(Employee_Text_Data!B:B,MATCH(E15,Employee_Text_Data!A:A,0)))</f>
        <v>Rohit Jain</v>
      </c>
    </row>
    <row r="16" spans="1:7" ht="28.8" x14ac:dyDescent="0.3">
      <c r="A16" s="8"/>
      <c r="B16" s="5" t="s">
        <v>1798</v>
      </c>
      <c r="C16" s="5" t="s">
        <v>1799</v>
      </c>
      <c r="D16" s="5" t="s">
        <v>1800</v>
      </c>
      <c r="E16" s="6" t="s">
        <v>20</v>
      </c>
      <c r="F16" s="5" t="s">
        <v>1801</v>
      </c>
      <c r="G16" s="7" t="str">
        <f>CLEAN(INDEX(Employee_Text_Data!G:G,MATCH(E16,Employee_Text_Data!A:A,0)))</f>
        <v>House 350, Sector 9, Bengaluru, India</v>
      </c>
    </row>
    <row r="17" spans="1:7" ht="28.8" x14ac:dyDescent="0.3">
      <c r="A17" s="8"/>
      <c r="B17" s="5" t="s">
        <v>1802</v>
      </c>
      <c r="C17" s="5" t="s">
        <v>1803</v>
      </c>
      <c r="D17" s="5" t="s">
        <v>1800</v>
      </c>
      <c r="E17" s="6" t="s">
        <v>20</v>
      </c>
      <c r="F17" s="5" t="s">
        <v>1804</v>
      </c>
      <c r="G17" s="7" t="str">
        <f>CLEAN(INDEX(Employee_Text_Data!T:T,MATCH(E17,Employee_Text_Data!A:A,0)))</f>
        <v xml:space="preserve"> Active Employee </v>
      </c>
    </row>
    <row r="18" spans="1:7" ht="28.8" x14ac:dyDescent="0.3">
      <c r="A18" s="8"/>
      <c r="B18" s="5" t="s">
        <v>1805</v>
      </c>
      <c r="C18" s="5" t="s">
        <v>1806</v>
      </c>
      <c r="D18" s="5" t="s">
        <v>1807</v>
      </c>
      <c r="E18" s="6" t="s">
        <v>20</v>
      </c>
      <c r="F18" s="5" t="s">
        <v>1808</v>
      </c>
      <c r="G18" s="7" t="str">
        <f>TRIM(CLEAN(INDEX(Employee_Text_Data!T:T,MATCH(E18,Employee_Text_Data!A:A,0))))</f>
        <v>Active Employee</v>
      </c>
    </row>
    <row r="19" spans="1:7" ht="28.8" x14ac:dyDescent="0.3">
      <c r="A19" s="8"/>
      <c r="B19" s="5" t="s">
        <v>1809</v>
      </c>
      <c r="C19" s="5" t="s">
        <v>1810</v>
      </c>
      <c r="D19" s="5" t="s">
        <v>1785</v>
      </c>
      <c r="E19" s="6" t="s">
        <v>20</v>
      </c>
      <c r="F19" s="5" t="s">
        <v>1811</v>
      </c>
      <c r="G19" s="7">
        <f>LEN(INDEX(Employee_Text_Data!B:B,MATCH(E19,Employee_Text_Data!A:A,0)))</f>
        <v>10</v>
      </c>
    </row>
    <row r="20" spans="1:7" ht="28.8" x14ac:dyDescent="0.3">
      <c r="A20" s="8"/>
      <c r="B20" s="5" t="s">
        <v>1812</v>
      </c>
      <c r="C20" s="5" t="s">
        <v>1813</v>
      </c>
      <c r="D20" s="5" t="s">
        <v>1814</v>
      </c>
      <c r="E20" s="6" t="s">
        <v>20</v>
      </c>
      <c r="F20" s="5" t="s">
        <v>1815</v>
      </c>
      <c r="G20" s="7">
        <f>LEN(TRIM(INDEX(Employee_Text_Data!B:B,MATCH(E20,Employee_Text_Data!A:A,0))))</f>
        <v>10</v>
      </c>
    </row>
    <row r="21" spans="1:7" ht="57.6" x14ac:dyDescent="0.3">
      <c r="A21" s="8"/>
      <c r="B21" s="5" t="s">
        <v>1816</v>
      </c>
      <c r="C21" s="5" t="s">
        <v>1817</v>
      </c>
      <c r="D21" s="5" t="s">
        <v>1818</v>
      </c>
      <c r="E21" s="6" t="s">
        <v>20</v>
      </c>
      <c r="F21" s="5" t="s">
        <v>1819</v>
      </c>
      <c r="G21" s="7">
        <f>LEN(INDEX(Employee_Text_Data!T:T,MATCH(E21,Employee_Text_Data!A:A,0)))-LEN(TRIM(INDEX(Employee_Text_Data!T:T,MATCH(E21,Employee_Text_Data!A:A,0))))</f>
        <v>2</v>
      </c>
    </row>
    <row r="22" spans="1:7" ht="15.6" x14ac:dyDescent="0.3">
      <c r="A22" s="1" t="s">
        <v>1820</v>
      </c>
      <c r="B22" s="1"/>
      <c r="C22" s="1"/>
      <c r="D22" s="1"/>
      <c r="E22" s="1"/>
      <c r="F22" s="1"/>
      <c r="G22" s="1"/>
    </row>
    <row r="23" spans="1:7" ht="57.6" x14ac:dyDescent="0.3">
      <c r="A23" s="9"/>
      <c r="B23" s="5" t="s">
        <v>1821</v>
      </c>
      <c r="C23" s="5" t="s">
        <v>1822</v>
      </c>
      <c r="D23" s="5" t="s">
        <v>1823</v>
      </c>
      <c r="E23" s="6" t="s">
        <v>20</v>
      </c>
      <c r="F23" s="5" t="s">
        <v>1824</v>
      </c>
      <c r="G23" s="7" t="str">
        <f>CONCATENATE(INDEX(Employee_Text_Data!C:C,MATCH(E23,Employee_Text_Data!A:A,0))," ",INDEX(Employee_Text_Data!D:D,MATCH(E23,Employee_Text_Data!A:A,0)))</f>
        <v>Rohit Jain</v>
      </c>
    </row>
    <row r="24" spans="1:7" ht="115.2" x14ac:dyDescent="0.3">
      <c r="A24" s="9"/>
      <c r="B24" s="5" t="s">
        <v>1825</v>
      </c>
      <c r="C24" s="5" t="s">
        <v>1826</v>
      </c>
      <c r="D24" s="5" t="s">
        <v>1827</v>
      </c>
      <c r="E24" s="6" t="s">
        <v>20</v>
      </c>
      <c r="F24" s="5" t="s">
        <v>1828</v>
      </c>
      <c r="G24" s="7" t="str">
        <f>INDEX(Employee_Text_Data!G:G,MATCH(E24,Employee_Text_Data!A:A,0))&amp;", "&amp;INDEX(Employee_Text_Data!H:H,MATCH(E24,Employee_Text_Data!A:A,0))&amp;", "&amp;INDEX(Employee_Text_Data!I:I,MATCH(E24,Employee_Text_Data!A:A,0))&amp;", "&amp;INDEX(Employee_Text_Data!J:J,MATCH(E24,Employee_Text_Data!A:A,0))</f>
        <v>House 350, Sector 9, Bengaluru, India, Bengaluru, Karnataka, India</v>
      </c>
    </row>
    <row r="25" spans="1:7" ht="43.2" x14ac:dyDescent="0.3">
      <c r="A25" s="9"/>
      <c r="B25" s="5" t="s">
        <v>1829</v>
      </c>
      <c r="C25" s="5" t="s">
        <v>1830</v>
      </c>
      <c r="D25" s="5" t="s">
        <v>1823</v>
      </c>
      <c r="E25" s="6" t="s">
        <v>20</v>
      </c>
      <c r="F25" s="5" t="s">
        <v>1831</v>
      </c>
      <c r="G25" s="7" t="str">
        <f>CONCATENATE(E25," - ",INDEX(Employee_Text_Data!B:B,MATCH(E25,Employee_Text_Data!A:A,0)))</f>
        <v>EMP0001 - Rohit Jain</v>
      </c>
    </row>
    <row r="26" spans="1:7" ht="57.6" x14ac:dyDescent="0.3">
      <c r="A26" s="9"/>
      <c r="B26" s="5" t="s">
        <v>1832</v>
      </c>
      <c r="C26" s="5" t="s">
        <v>1833</v>
      </c>
      <c r="D26" s="5" t="s">
        <v>1834</v>
      </c>
      <c r="E26" s="6" t="s">
        <v>20</v>
      </c>
      <c r="F26" s="5" t="s">
        <v>1835</v>
      </c>
      <c r="G26" s="7" t="str">
        <f>INDEX(Employee_Text_Data!B:B,MATCH(E26,Employee_Text_Data!A:A,0))&amp;" - "&amp;INDEX(Employee_Text_Data!K:K,MATCH(E26,Employee_Text_Data!A:A,0))</f>
        <v>Rohit Jain - Finance</v>
      </c>
    </row>
    <row r="27" spans="1:7" ht="72" x14ac:dyDescent="0.3">
      <c r="A27" s="9"/>
      <c r="B27" s="5" t="s">
        <v>1836</v>
      </c>
      <c r="C27" s="5" t="s">
        <v>1837</v>
      </c>
      <c r="D27" s="5" t="s">
        <v>1834</v>
      </c>
      <c r="E27" s="6" t="s">
        <v>20</v>
      </c>
      <c r="F27" s="5" t="s">
        <v>1838</v>
      </c>
      <c r="G27" s="7" t="str">
        <f>INDEX(Employee_Text_Data!B:B,MATCH(E27,Employee_Text_Data!A:A,0))&amp;" | "&amp;INDEX(Employee_Text_Data!L:L,MATCH(E27,Employee_Text_Data!A:A,0))&amp;" | "&amp;INDEX(Employee_Text_Data!M:M,MATCH(E27,Employee_Text_Data!A:A,0))</f>
        <v>Rohit Jain | Manager | South Hub</v>
      </c>
    </row>
    <row r="28" spans="1:7" ht="72" x14ac:dyDescent="0.3">
      <c r="A28" s="9"/>
      <c r="B28" s="5" t="s">
        <v>1839</v>
      </c>
      <c r="C28" s="5" t="s">
        <v>1840</v>
      </c>
      <c r="D28" s="5" t="s">
        <v>1834</v>
      </c>
      <c r="E28" s="6" t="s">
        <v>20</v>
      </c>
      <c r="F28" s="5" t="s">
        <v>1841</v>
      </c>
      <c r="G28" s="7" t="str">
        <f>INDEX(Employee_Text_Data!B:B,MATCH(E28,Employee_Text_Data!A:A,0))&amp;" | "&amp;INDEX(Employee_Text_Data!K:K,MATCH(E28,Employee_Text_Data!A:A,0))&amp;" | "&amp;INDEX(Employee_Text_Data!M:M,MATCH(E28,Employee_Text_Data!A:A,0))</f>
        <v>Rohit Jain | Finance | South Hub</v>
      </c>
    </row>
    <row r="29" spans="1:7" ht="57.6" x14ac:dyDescent="0.3">
      <c r="A29" s="9"/>
      <c r="B29" s="5" t="s">
        <v>1842</v>
      </c>
      <c r="C29" s="5" t="s">
        <v>1843</v>
      </c>
      <c r="D29" s="5" t="s">
        <v>1834</v>
      </c>
      <c r="E29" s="6" t="s">
        <v>20</v>
      </c>
      <c r="F29" s="5" t="s">
        <v>1844</v>
      </c>
      <c r="G29" s="7" t="str">
        <f>INDEX(Employee_Text_Data!O:O,MATCH(E29,Employee_Text_Data!A:A,0))&amp;" - "&amp;INDEX(Employee_Text_Data!P:P,MATCH(E29,Employee_Text_Data!A:A,0))</f>
        <v>Tablet - Electronics</v>
      </c>
    </row>
    <row r="30" spans="1:7" ht="100.8" x14ac:dyDescent="0.3">
      <c r="A30" s="9"/>
      <c r="B30" s="5" t="s">
        <v>1845</v>
      </c>
      <c r="C30" s="5" t="s">
        <v>1846</v>
      </c>
      <c r="D30" s="5" t="s">
        <v>1834</v>
      </c>
      <c r="E30" s="6" t="s">
        <v>20</v>
      </c>
      <c r="F30" s="5" t="s">
        <v>1847</v>
      </c>
      <c r="G30" s="7" t="str">
        <f>E30&amp;" | "&amp;INDEX(Employee_Text_Data!B:B,MATCH(E30,Employee_Text_Data!A:A,0))&amp;" | "&amp;INDEX(Employee_Text_Data!K:K,MATCH(E30,Employee_Text_Data!A:A,0))&amp;" | "&amp;INDEX(Employee_Text_Data!L:L,MATCH(E30,Employee_Text_Data!A:A,0))&amp;" | "&amp;INDEX(Employee_Text_Data!M:M,MATCH(E30,Employee_Text_Data!A:A,0))&amp;" | "&amp;INDEX(Employee_Text_Data!S:S,MATCH(E30,Employee_Text_Data!A:A,0))</f>
        <v>EMP0001 | Rohit Jain | Finance | Manager | South Hub | Active</v>
      </c>
    </row>
    <row r="31" spans="1:7" ht="15.6" x14ac:dyDescent="0.3">
      <c r="A31" s="1" t="s">
        <v>1848</v>
      </c>
      <c r="B31" s="1"/>
      <c r="C31" s="1"/>
      <c r="D31" s="1"/>
      <c r="E31" s="1"/>
      <c r="F31" s="1"/>
      <c r="G31" s="1"/>
    </row>
    <row r="32" spans="1:7" ht="28.8" x14ac:dyDescent="0.3">
      <c r="A32" s="10"/>
      <c r="B32" s="5" t="s">
        <v>1849</v>
      </c>
      <c r="C32" s="5" t="s">
        <v>1850</v>
      </c>
      <c r="D32" s="5" t="s">
        <v>1851</v>
      </c>
      <c r="E32" s="6" t="s">
        <v>20</v>
      </c>
      <c r="F32" s="5" t="s">
        <v>1852</v>
      </c>
      <c r="G32" s="7">
        <f>FIND("@",INDEX(Employee_Text_Data!E:E,MATCH(E32,Employee_Text_Data!A:A,0)))</f>
        <v>12</v>
      </c>
    </row>
    <row r="33" spans="1:7" ht="28.8" x14ac:dyDescent="0.3">
      <c r="A33" s="10"/>
      <c r="B33" s="5" t="s">
        <v>1853</v>
      </c>
      <c r="C33" s="5" t="s">
        <v>1854</v>
      </c>
      <c r="D33" s="5" t="s">
        <v>1851</v>
      </c>
      <c r="E33" s="6" t="s">
        <v>20</v>
      </c>
      <c r="F33" s="5" t="s">
        <v>1855</v>
      </c>
      <c r="G33" s="7">
        <f>FIND(".",INDEX(Employee_Text_Data!E:E,MATCH(E33,Employee_Text_Data!A:A,0)))</f>
        <v>6</v>
      </c>
    </row>
    <row r="34" spans="1:7" ht="28.8" x14ac:dyDescent="0.3">
      <c r="A34" s="10"/>
      <c r="B34" s="5" t="s">
        <v>1856</v>
      </c>
      <c r="C34" s="5" t="s">
        <v>1857</v>
      </c>
      <c r="D34" s="5" t="s">
        <v>1851</v>
      </c>
      <c r="E34" s="6" t="s">
        <v>20</v>
      </c>
      <c r="F34" s="5" t="s">
        <v>1858</v>
      </c>
      <c r="G34" s="7">
        <f>FIND("Hub",INDEX(Employee_Text_Data!M:M,MATCH(E34,Employee_Text_Data!A:A,0)))</f>
        <v>7</v>
      </c>
    </row>
    <row r="35" spans="1:7" ht="28.8" x14ac:dyDescent="0.3">
      <c r="A35" s="10"/>
      <c r="B35" s="5" t="s">
        <v>1859</v>
      </c>
      <c r="C35" s="5" t="s">
        <v>1860</v>
      </c>
      <c r="D35" s="5" t="s">
        <v>1861</v>
      </c>
      <c r="E35" s="6" t="s">
        <v>239</v>
      </c>
      <c r="F35" s="5" t="s">
        <v>1862</v>
      </c>
      <c r="G35" s="7">
        <f>IFERROR(SEARCH("Sales",INDEX(Employee_Text_Data!K:K,MATCH(E35,Employee_Text_Data!A:A,0))),"Not Found")</f>
        <v>1</v>
      </c>
    </row>
    <row r="36" spans="1:7" ht="28.8" x14ac:dyDescent="0.3">
      <c r="A36" s="10"/>
      <c r="B36" s="5" t="s">
        <v>1863</v>
      </c>
      <c r="C36" s="5" t="s">
        <v>1864</v>
      </c>
      <c r="D36" s="5" t="s">
        <v>1865</v>
      </c>
      <c r="E36" s="6" t="s">
        <v>20</v>
      </c>
      <c r="F36" s="5" t="s">
        <v>1866</v>
      </c>
      <c r="G36" s="7" t="str">
        <f>IF(ISNUMBER(SEARCH("Sector",INDEX(Employee_Text_Data!G:G,MATCH(E36,Employee_Text_Data!A:A,0)))),"Yes","No")</f>
        <v>Yes</v>
      </c>
    </row>
    <row r="37" spans="1:7" ht="43.2" x14ac:dyDescent="0.3">
      <c r="A37" s="10"/>
      <c r="B37" s="5" t="s">
        <v>1867</v>
      </c>
      <c r="C37" s="5" t="s">
        <v>1868</v>
      </c>
      <c r="D37" s="5" t="s">
        <v>1851</v>
      </c>
      <c r="E37" s="6" t="s">
        <v>20</v>
      </c>
      <c r="F37" s="5" t="s">
        <v>1869</v>
      </c>
      <c r="G37" s="7">
        <f>FIND(" ",INDEX(Employee_Text_Data!B:B,MATCH(E37,Employee_Text_Data!A:A,0)))</f>
        <v>6</v>
      </c>
    </row>
    <row r="38" spans="1:7" ht="28.8" x14ac:dyDescent="0.3">
      <c r="A38" s="10"/>
      <c r="B38" s="5" t="s">
        <v>1870</v>
      </c>
      <c r="C38" s="5" t="s">
        <v>1871</v>
      </c>
      <c r="D38" s="5" t="s">
        <v>1872</v>
      </c>
      <c r="E38" s="6" t="s">
        <v>20</v>
      </c>
      <c r="F38" s="5" t="s">
        <v>1873</v>
      </c>
      <c r="G38" s="7">
        <f>IFERROR(SEARCH("India",INDEX(Employee_Text_Data!G:G,MATCH(E38,Employee_Text_Data!A:A,0))),"Not Found")</f>
        <v>33</v>
      </c>
    </row>
    <row r="39" spans="1:7" ht="72" x14ac:dyDescent="0.3">
      <c r="A39" s="10"/>
      <c r="B39" s="5" t="s">
        <v>1874</v>
      </c>
      <c r="C39" s="5" t="s">
        <v>1875</v>
      </c>
      <c r="D39" s="5" t="s">
        <v>1876</v>
      </c>
      <c r="E39" s="6" t="s">
        <v>20</v>
      </c>
      <c r="F39" s="5" t="s">
        <v>1877</v>
      </c>
      <c r="G39" s="7" t="str">
        <f>IFERROR(FIND("JAIN",INDEX(Employee_Text_Data!B:B,MATCH(E39,Employee_Text_Data!A:A,0))),"FIND: not found (case-sensitive)")&amp;"  |  SEARCH: "&amp;SEARCH("JAIN",INDEX(Employee_Text_Data!B:B,MATCH(E39,Employee_Text_Data!A:A,0)))</f>
        <v>FIND: not found (case-sensitive)  |  SEARCH: 7</v>
      </c>
    </row>
    <row r="40" spans="1:7" ht="15.6" x14ac:dyDescent="0.3">
      <c r="A40" s="1" t="s">
        <v>1878</v>
      </c>
      <c r="B40" s="1"/>
      <c r="C40" s="1"/>
      <c r="D40" s="1"/>
      <c r="E40" s="1"/>
      <c r="F40" s="1"/>
      <c r="G40" s="1"/>
    </row>
    <row r="41" spans="1:7" ht="28.8" x14ac:dyDescent="0.3">
      <c r="A41" s="11"/>
      <c r="B41" s="5" t="s">
        <v>1879</v>
      </c>
      <c r="C41" s="5" t="s">
        <v>1880</v>
      </c>
      <c r="D41" s="5" t="s">
        <v>1881</v>
      </c>
      <c r="E41" s="6" t="s">
        <v>20</v>
      </c>
      <c r="F41" s="5" t="s">
        <v>1882</v>
      </c>
      <c r="G41" s="7" t="str">
        <f>SUBSTITUTE(INDEX(Employee_Text_Data!J:J,MATCH(E41,Employee_Text_Data!A:A,0)),"India","Bharat")</f>
        <v>Bharat</v>
      </c>
    </row>
    <row r="42" spans="1:7" ht="28.8" x14ac:dyDescent="0.3">
      <c r="A42" s="11"/>
      <c r="B42" s="5" t="s">
        <v>1883</v>
      </c>
      <c r="C42" s="5" t="s">
        <v>1884</v>
      </c>
      <c r="D42" s="5" t="s">
        <v>1881</v>
      </c>
      <c r="E42" s="6" t="s">
        <v>20</v>
      </c>
      <c r="F42" s="5" t="s">
        <v>1885</v>
      </c>
      <c r="G42" s="7" t="str">
        <f>SUBSTITUTE(INDEX(Employee_Text_Data!M:M,MATCH(E42,Employee_Text_Data!A:A,0)),"Hub","Office")</f>
        <v>South Office</v>
      </c>
    </row>
    <row r="43" spans="1:7" ht="28.8" x14ac:dyDescent="0.3">
      <c r="A43" s="11"/>
      <c r="B43" s="5" t="s">
        <v>1886</v>
      </c>
      <c r="C43" s="5" t="s">
        <v>1887</v>
      </c>
      <c r="D43" s="5" t="s">
        <v>1881</v>
      </c>
      <c r="E43" s="6" t="s">
        <v>20</v>
      </c>
      <c r="F43" s="5" t="s">
        <v>1888</v>
      </c>
      <c r="G43" s="7" t="str">
        <f>SUBSTITUTE(INDEX(Employee_Text_Data!P:P,MATCH(E43,Employee_Text_Data!A:A,0)),"Electronics","Electronic Items")</f>
        <v>Electronic Items</v>
      </c>
    </row>
    <row r="44" spans="1:7" ht="28.8" x14ac:dyDescent="0.3">
      <c r="A44" s="11"/>
      <c r="B44" s="5" t="s">
        <v>1889</v>
      </c>
      <c r="C44" s="5" t="s">
        <v>1890</v>
      </c>
      <c r="D44" s="5" t="s">
        <v>1891</v>
      </c>
      <c r="E44" s="6" t="s">
        <v>20</v>
      </c>
      <c r="F44" s="5" t="s">
        <v>1892</v>
      </c>
      <c r="G44" s="7" t="str">
        <f>REPLACE(E44,1,3,"STAFF")</f>
        <v>STAFF0001</v>
      </c>
    </row>
    <row r="45" spans="1:7" ht="43.2" x14ac:dyDescent="0.3">
      <c r="A45" s="11"/>
      <c r="B45" s="5" t="s">
        <v>1893</v>
      </c>
      <c r="C45" s="5" t="s">
        <v>1894</v>
      </c>
      <c r="D45" s="5" t="s">
        <v>1891</v>
      </c>
      <c r="E45" s="6" t="s">
        <v>20</v>
      </c>
      <c r="F45" s="5" t="s">
        <v>1895</v>
      </c>
      <c r="G45" s="7" t="str">
        <f>REPLACE(INDEX(Employee_Text_Data!F:F,MATCH(E45,Employee_Text_Data!A:A,0)),LEN(INDEX(Employee_Text_Data!F:F,MATCH(E45,Employee_Text_Data!A:A,0)))-3,4,"XXXX")</f>
        <v>986060XXXX</v>
      </c>
    </row>
    <row r="46" spans="1:7" ht="28.8" x14ac:dyDescent="0.3">
      <c r="A46" s="11"/>
      <c r="B46" s="5" t="s">
        <v>1896</v>
      </c>
      <c r="C46" s="5" t="s">
        <v>1897</v>
      </c>
      <c r="D46" s="5" t="s">
        <v>1881</v>
      </c>
      <c r="E46" s="6" t="s">
        <v>239</v>
      </c>
      <c r="F46" s="5" t="s">
        <v>1898</v>
      </c>
      <c r="G46" s="7" t="str">
        <f>SUBSTITUTE(INDEX(Employee_Text_Data!T:T,MATCH(E46,Employee_Text_Data!A:A,0)),"Pending","Completed")</f>
        <v>Completed  Verification</v>
      </c>
    </row>
    <row r="47" spans="1:7" ht="28.8" x14ac:dyDescent="0.3">
      <c r="A47" s="11"/>
      <c r="B47" s="5" t="s">
        <v>1899</v>
      </c>
      <c r="C47" s="5" t="s">
        <v>1900</v>
      </c>
      <c r="D47" s="5" t="s">
        <v>1901</v>
      </c>
      <c r="E47" s="6" t="s">
        <v>20</v>
      </c>
      <c r="F47" s="5" t="s">
        <v>1902</v>
      </c>
      <c r="G47" s="7" t="str">
        <f>SUBSTITUTE(TRIM(INDEX(Employee_Text_Data!B:B,MATCH(E47,Employee_Text_Data!A:A,0)))," ","_")</f>
        <v>Rohit_Jain</v>
      </c>
    </row>
    <row r="48" spans="1:7" ht="28.8" x14ac:dyDescent="0.3">
      <c r="A48" s="11"/>
      <c r="B48" s="5" t="s">
        <v>1903</v>
      </c>
      <c r="C48" s="5" t="s">
        <v>1904</v>
      </c>
      <c r="D48" s="5" t="s">
        <v>1881</v>
      </c>
      <c r="E48" s="6" t="s">
        <v>20</v>
      </c>
      <c r="F48" s="5" t="s">
        <v>1905</v>
      </c>
      <c r="G48" s="7" t="str">
        <f>SUBSTITUTE(INDEX(Employee_Text_Data!G:G,MATCH(E48,Employee_Text_Data!A:A,0)),",","|")</f>
        <v>House 350| Sector 9| Bengaluru| India</v>
      </c>
    </row>
    <row r="49" spans="1:7" ht="15.6" x14ac:dyDescent="0.3">
      <c r="A49" s="1" t="s">
        <v>1906</v>
      </c>
      <c r="B49" s="1"/>
      <c r="C49" s="1"/>
      <c r="D49" s="1"/>
      <c r="E49" s="1"/>
      <c r="F49" s="1"/>
      <c r="G49" s="1"/>
    </row>
    <row r="50" spans="1:7" ht="28.8" x14ac:dyDescent="0.3">
      <c r="A50" s="12"/>
      <c r="B50" s="5" t="s">
        <v>1907</v>
      </c>
      <c r="C50" s="5" t="s">
        <v>1908</v>
      </c>
      <c r="D50" s="5" t="s">
        <v>1909</v>
      </c>
      <c r="E50" s="6" t="s">
        <v>20</v>
      </c>
      <c r="F50" s="5" t="s">
        <v>1910</v>
      </c>
      <c r="G50" s="7" t="str">
        <f>UPPER(INDEX(Employee_Text_Data!B:B,MATCH(E50,Employee_Text_Data!A:A,0)))</f>
        <v>ROHIT JAIN</v>
      </c>
    </row>
    <row r="51" spans="1:7" ht="28.8" x14ac:dyDescent="0.3">
      <c r="A51" s="12"/>
      <c r="B51" s="5" t="s">
        <v>1911</v>
      </c>
      <c r="C51" s="5" t="s">
        <v>1912</v>
      </c>
      <c r="D51" s="5" t="s">
        <v>1913</v>
      </c>
      <c r="E51" s="6" t="s">
        <v>20</v>
      </c>
      <c r="F51" s="5" t="s">
        <v>1914</v>
      </c>
      <c r="G51" s="7" t="str">
        <f>LOWER(INDEX(Employee_Text_Data!E:E,MATCH(E51,Employee_Text_Data!A:A,0)))</f>
        <v>rohit.jain1@company.com</v>
      </c>
    </row>
    <row r="52" spans="1:7" ht="28.8" x14ac:dyDescent="0.3">
      <c r="A52" s="12"/>
      <c r="B52" s="5" t="s">
        <v>1915</v>
      </c>
      <c r="C52" s="5" t="s">
        <v>1916</v>
      </c>
      <c r="D52" s="5" t="s">
        <v>1917</v>
      </c>
      <c r="E52" s="6" t="s">
        <v>20</v>
      </c>
      <c r="F52" s="5" t="s">
        <v>1918</v>
      </c>
      <c r="G52" s="7" t="str">
        <f>PROPER(INDEX(Employee_Text_Data!N:N,MATCH(E52,Employee_Text_Data!A:A,0)))</f>
        <v>Pooja Yadav</v>
      </c>
    </row>
    <row r="53" spans="1:7" ht="43.2" x14ac:dyDescent="0.3">
      <c r="A53" s="12"/>
      <c r="B53" s="5" t="s">
        <v>1919</v>
      </c>
      <c r="C53" s="5" t="s">
        <v>1920</v>
      </c>
      <c r="D53" s="5" t="s">
        <v>1921</v>
      </c>
      <c r="E53" s="6" t="s">
        <v>20</v>
      </c>
      <c r="F53" s="5" t="s">
        <v>1922</v>
      </c>
      <c r="G53" s="7" t="str">
        <f>IF(EXACT(INDEX(Employee_Text_Data!B:B,MATCH(E53,Employee_Text_Data!A:A,0)),INDEX(Employee_Text_Data!N:N,MATCH(E53,Employee_Text_Data!A:A,0))),"Same","Different")</f>
        <v>Different</v>
      </c>
    </row>
    <row r="54" spans="1:7" ht="28.8" x14ac:dyDescent="0.3">
      <c r="A54" s="12"/>
      <c r="B54" s="5" t="s">
        <v>1923</v>
      </c>
      <c r="C54" s="5" t="s">
        <v>1924</v>
      </c>
      <c r="D54" s="5" t="s">
        <v>1925</v>
      </c>
      <c r="E54" s="6" t="s">
        <v>20</v>
      </c>
      <c r="F54" s="5" t="s">
        <v>1926</v>
      </c>
      <c r="G54" s="7" t="str">
        <f>TEXT(VALUE(INDEX(Employee_Text_Data!F:F,MATCH(E54,Employee_Text_Data!A:A,0))),"0000000000")</f>
        <v>9860602579</v>
      </c>
    </row>
    <row r="55" spans="1:7" ht="28.8" x14ac:dyDescent="0.3">
      <c r="A55" s="12"/>
      <c r="B55" s="5" t="s">
        <v>1927</v>
      </c>
      <c r="C55" s="5" t="s">
        <v>1928</v>
      </c>
      <c r="D55" s="5" t="s">
        <v>1929</v>
      </c>
      <c r="E55" s="6" t="s">
        <v>20</v>
      </c>
      <c r="F55" s="5" t="s">
        <v>1930</v>
      </c>
      <c r="G55" s="7">
        <f>VALUE(INDEX(Employee_Text_Data!R:R,MATCH(E55,Employee_Text_Data!A:A,0)))</f>
        <v>217590336009</v>
      </c>
    </row>
    <row r="56" spans="1:7" ht="28.8" x14ac:dyDescent="0.3">
      <c r="A56" s="12"/>
      <c r="B56" s="5" t="s">
        <v>1931</v>
      </c>
      <c r="C56" s="5" t="s">
        <v>1932</v>
      </c>
      <c r="D56" s="5" t="s">
        <v>1933</v>
      </c>
      <c r="E56" s="5"/>
      <c r="F56" s="5" t="s">
        <v>1934</v>
      </c>
      <c r="G56" s="7" t="str">
        <f ca="1">TEXT(TODAY(),"dd-mmm-yyyy")</f>
        <v>07-Jul-2026</v>
      </c>
    </row>
    <row r="57" spans="1:7" ht="60" customHeight="1" x14ac:dyDescent="0.3">
      <c r="A57" s="12"/>
      <c r="B57" s="5" t="s">
        <v>1935</v>
      </c>
      <c r="C57" s="5" t="s">
        <v>1936</v>
      </c>
      <c r="D57" s="5" t="s">
        <v>1834</v>
      </c>
      <c r="E57" s="6" t="s">
        <v>20</v>
      </c>
      <c r="F57" s="5" t="s">
        <v>1937</v>
      </c>
      <c r="G57" s="13" t="str">
        <f>"Employee : "&amp;INDEX(Employee_Text_Data!B:B,MATCH(E57,Employee_Text_Data!A:A,0))&amp;CHAR(10)&amp;"Department : "&amp;INDEX(Employee_Text_Data!K:K,MATCH(E57,Employee_Text_Data!A:A,0))&amp;CHAR(10)&amp;"Branch : "&amp;INDEX(Employee_Text_Data!M:M,MATCH(E57,Employee_Text_Data!A:A,0))&amp;CHAR(10)&amp;"Status : "&amp;INDEX(Employee_Text_Data!S:S,MATCH(E57,Employee_Text_Data!A:A,0))</f>
        <v>Employee : Rohit Jain
Department : Finance
Branch : South Hub
Status : Active</v>
      </c>
    </row>
  </sheetData>
  <mergeCells count="6">
    <mergeCell ref="A49:G49"/>
    <mergeCell ref="A2:G2"/>
    <mergeCell ref="A13:G13"/>
    <mergeCell ref="A22:G22"/>
    <mergeCell ref="A31:G31"/>
    <mergeCell ref="A40:G4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Employee_Text_Data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Madanmohan Tiwari</cp:lastModifiedBy>
  <cp:revision>0</cp:revision>
  <dcterms:created xsi:type="dcterms:W3CDTF">2026-07-07T02:26:40Z</dcterms:created>
  <dcterms:modified xsi:type="dcterms:W3CDTF">2026-07-07T12:28:52Z</dcterms:modified>
  <dc:language>en-US</dc:language>
</cp:coreProperties>
</file>