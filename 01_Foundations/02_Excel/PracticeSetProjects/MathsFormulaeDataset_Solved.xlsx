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505" windowHeight="12525" tabRatio="500" activeTab="1"/>
  </bookViews>
  <sheets>
    <sheet name="Sheet1" sheetId="1" r:id="rId1"/>
    <sheet name="Solutions" sheetId="2" r:id="rId2"/>
  </sheets>
  <calcPr calcId="144525"/>
</workbook>
</file>

<file path=xl/sharedStrings.xml><?xml version="1.0" encoding="utf-8"?>
<sst xmlns="http://schemas.openxmlformats.org/spreadsheetml/2006/main" count="1070" uniqueCount="290">
  <si>
    <t>Order_ID</t>
  </si>
  <si>
    <t>Order_Date</t>
  </si>
  <si>
    <t>Region</t>
  </si>
  <si>
    <t>Sales_Rep</t>
  </si>
  <si>
    <t>Product</t>
  </si>
  <si>
    <t>Category</t>
  </si>
  <si>
    <t>Units_Sold</t>
  </si>
  <si>
    <t>Unit_Price</t>
  </si>
  <si>
    <t>Sales_Amount</t>
  </si>
  <si>
    <t>Cost</t>
  </si>
  <si>
    <t>Profit</t>
  </si>
  <si>
    <t>Customer_Rating</t>
  </si>
  <si>
    <t>Bonus</t>
  </si>
  <si>
    <t>Performance_Score</t>
  </si>
  <si>
    <t>ORD0001</t>
  </si>
  <si>
    <t>North</t>
  </si>
  <si>
    <t>Priya</t>
  </si>
  <si>
    <t>Laptop</t>
  </si>
  <si>
    <t>Electronics</t>
  </si>
  <si>
    <t>ORD0002</t>
  </si>
  <si>
    <t>Rahul</t>
  </si>
  <si>
    <t>Desk</t>
  </si>
  <si>
    <t>Furniture</t>
  </si>
  <si>
    <t>ORD0003</t>
  </si>
  <si>
    <t>East</t>
  </si>
  <si>
    <t>Pooja</t>
  </si>
  <si>
    <t>Tablet</t>
  </si>
  <si>
    <t>ORD0004</t>
  </si>
  <si>
    <t>West</t>
  </si>
  <si>
    <t>Printer</t>
  </si>
  <si>
    <t>ORD0005</t>
  </si>
  <si>
    <t>ORD0006</t>
  </si>
  <si>
    <t>Mobile</t>
  </si>
  <si>
    <t>ORD0007</t>
  </si>
  <si>
    <t>ORD0008</t>
  </si>
  <si>
    <t>Vikas</t>
  </si>
  <si>
    <t>ORD0009</t>
  </si>
  <si>
    <t>South</t>
  </si>
  <si>
    <t>ORD0010</t>
  </si>
  <si>
    <t>ORD0011</t>
  </si>
  <si>
    <t>Neha</t>
  </si>
  <si>
    <t>ORD0012</t>
  </si>
  <si>
    <t>Karan</t>
  </si>
  <si>
    <t>ORD0013</t>
  </si>
  <si>
    <t>ORD0014</t>
  </si>
  <si>
    <t>ORD0015</t>
  </si>
  <si>
    <t>ORD0016</t>
  </si>
  <si>
    <t>ORD0017</t>
  </si>
  <si>
    <t>Sneha</t>
  </si>
  <si>
    <t>ORD0018</t>
  </si>
  <si>
    <t>ORD0019</t>
  </si>
  <si>
    <t>ORD0020</t>
  </si>
  <si>
    <t>Amit</t>
  </si>
  <si>
    <t>ORD0021</t>
  </si>
  <si>
    <t>Chair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</si>
  <si>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</si>
  <si>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</si>
  <si>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</si>
  <si>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</si>
  <si>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</si>
  <si>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</si>
  <si>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</si>
  <si>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</si>
  <si>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</si>
  <si>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</si>
  <si>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</si>
  <si>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</si>
  <si>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</si>
  <si>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</si>
  <si>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</si>
  <si>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</si>
  <si>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</si>
  <si>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</si>
  <si>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</si>
  <si>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</si>
  <si>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</si>
  <si>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</si>
  <si>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</si>
  <si>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</si>
  <si>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</si>
  <si>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</si>
  <si>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</si>
  <si>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</si>
  <si>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</si>
  <si>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</si>
  <si>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</si>
  <si>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</si>
  <si>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</si>
  <si>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</si>
  <si>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</si>
  <si>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</si>
  <si>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</si>
  <si>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</si>
  <si>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</si>
  <si>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</si>
  <si>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</si>
  <si>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</si>
  <si>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</si>
  <si>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</si>
  <si>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</si>
  <si>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</si>
  <si>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</si>
  <si>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</si>
  <si>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</si>
  <si>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</si>
  <si>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</si>
  <si>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</si>
  <si>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</si>
  <si>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</si>
  <si>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</si>
  <si>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</si>
  <si>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</si>
  <si>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</si>
  <si>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</si>
  <si>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</si>
  <si>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</si>
  <si>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</si>
  <si>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</si>
  <si>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</si>
  <si>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</si>
  <si>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</si>
  <si>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</si>
  <si>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</si>
  <si>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</si>
  <si>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</si>
  <si>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</si>
  <si>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</si>
  <si>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</si>
  <si>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</si>
  <si>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</si>
  <si>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</si>
  <si>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</si>
  <si>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</si>
  <si>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</si>
  <si>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</si>
  <si>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</si>
  <si>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</si>
  <si>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</si>
  <si>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</si>
  <si>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</si>
  <si>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</si>
  <si>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</si>
  <si>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</si>
  <si>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</si>
  <si>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</si>
  <si>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</si>
  <si>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</si>
  <si>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</si>
  <si>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</si>
  <si>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</si>
  <si>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</si>
  <si>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</si>
  <si>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</si>
  <si>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</si>
  <si>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</si>
  <si>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</si>
  <si>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</si>
  <si>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</si>
  <si>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</si>
  <si>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</si>
  <si>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</si>
  <si>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</si>
  <si>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</si>
  <si>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</si>
  <si>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</si>
  <si>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</si>
  <si>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</si>
  <si>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</si>
  <si>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</si>
  <si>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</si>
  <si>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</si>
  <si>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</si>
  <si>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</si>
  <si>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</si>
  <si>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</si>
  <si>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</si>
  <si>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</si>
  <si>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</si>
  <si>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</si>
  <si>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</si>
  <si>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</si>
  <si>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</si>
  <si>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</si>
  <si>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</si>
  <si>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</si>
  <si>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</si>
  <si>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</si>
  <si>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</si>
  <si>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</si>
  <si>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</si>
  <si>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</si>
  <si>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</si>
  <si>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</si>
  <si>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</si>
  <si>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</si>
  <si>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</si>
  <si>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</si>
  <si>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</si>
  <si>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</si>
  <si>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</si>
  <si>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</si>
  <si>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</si>
  <si>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</si>
  <si>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</si>
  <si>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</si>
  <si>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</si>
  <si>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</si>
  <si>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</si>
  <si>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</si>
  <si>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</si>
  <si>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</si>
  <si>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</si>
  <si>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</si>
  <si>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</si>
  <si>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</si>
  <si>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</si>
  <si>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</si>
  <si>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</si>
  <si>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</si>
  <si>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</si>
  <si>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</si>
  <si>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</si>
  <si>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</si>
  <si>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</si>
  <si>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</si>
  <si>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</si>
  <si>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</si>
  <si>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</si>
  <si>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</si>
  <si>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</si>
  <si>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</si>
  <si>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</si>
  <si>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</si>
  <si>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</si>
  <si>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Question</t>
  </si>
  <si>
    <t>Solution (Formula)</t>
  </si>
  <si>
    <t>Basic Math Functions</t>
  </si>
  <si>
    <t>Q1. Total Sales Amount</t>
  </si>
  <si>
    <t>Q2. Total Profit</t>
  </si>
  <si>
    <t>Q3. Average Sales Amount</t>
  </si>
  <si>
    <t>Q4. Average Customer Rating</t>
  </si>
  <si>
    <t>Q5. Total Orders (Count)</t>
  </si>
  <si>
    <t>Maximum &amp; Minimum Functions</t>
  </si>
  <si>
    <t>Q6. Highest Sales Amount</t>
  </si>
  <si>
    <t>Q7. Lowest Profit</t>
  </si>
  <si>
    <t>Q8. 2nd Highest Sales Amount</t>
  </si>
  <si>
    <t>Q9. 5th Smallest Profit</t>
  </si>
  <si>
    <t>Q10. Count of Available Customer Ratings</t>
  </si>
  <si>
    <t>Rounding Functions</t>
  </si>
  <si>
    <t>Q11. Round Average Sales Amount to 2 decimals</t>
  </si>
  <si>
    <t>Q12. Round Highest Sales Amount to nearest 1000</t>
  </si>
  <si>
    <t>Q13. Round DOWN Average Customer Rating to 0 decimals</t>
  </si>
  <si>
    <t>Q14. Round UP Average Profit to nearest hundred</t>
  </si>
  <si>
    <t>Advanced Math Functions</t>
  </si>
  <si>
    <t>Q15. Absolute Value of Minimum Profit</t>
  </si>
  <si>
    <t>Q16. Total Orders Even or Odd</t>
  </si>
  <si>
    <t>Q17. Square Root of Highest Sales Amount</t>
  </si>
  <si>
    <t>Q18. Cube of Average Units Sold</t>
  </si>
  <si>
    <t>Random Functions</t>
  </si>
  <si>
    <t>Q19. Random Bonus Amount (₹5,000 - ₹20,000) per Sales Rep</t>
  </si>
  <si>
    <t>Challenge Question - Performance Score</t>
  </si>
  <si>
    <t>Q20b. Highest Performance Score</t>
  </si>
  <si>
    <t>Q20c. Average Performance Score</t>
  </si>
  <si>
    <t>Q20d. Top 3 Performance Scores - 1st</t>
  </si>
  <si>
    <t>Q20e. Top 3 Performance Scores - 2nd</t>
  </si>
  <si>
    <t>Q20f. Top 3 Performance Scores - 3rd</t>
  </si>
  <si>
    <t>SUMIF &amp; SUMIFS</t>
  </si>
  <si>
    <t>Q21. Total Sales Amount - North Region</t>
  </si>
  <si>
    <t>Q22. Total Profit - Electronics Category</t>
  </si>
  <si>
    <t>Q23. Total Sales Amount - Laptop Product</t>
  </si>
  <si>
    <t>Q24. Total Sales Amount (Region=North AND Product=Laptop)</t>
  </si>
  <si>
    <t>Q25. Total Profit (Region=South AND Category=Furniture)</t>
  </si>
  <si>
    <t>COUNTIF &amp; COUNTIFS</t>
  </si>
  <si>
    <t>Q26. Count Orders - West Region</t>
  </si>
  <si>
    <t>Q27. Count Orders where Rating &gt; 4</t>
  </si>
  <si>
    <t>Q28. Count Laptop Orders</t>
  </si>
  <si>
    <t>Q29. Count Orders (Region=East AND Product=Mobile)</t>
  </si>
  <si>
    <t>Q30. Count Orders (Category=Electronics AND Rating&gt;4)</t>
  </si>
  <si>
    <t>AVERAGEIF &amp; AVERAGEIFS</t>
  </si>
  <si>
    <t>Q31. Average Sales Amount - North Region</t>
  </si>
  <si>
    <t>Q32. Average Profit - Furniture Category</t>
  </si>
  <si>
    <t>Q33. Average Customer Rating - Laptop Product</t>
  </si>
  <si>
    <t>Q34. Average Sales Amount (Region=South AND Product=Mobile)</t>
  </si>
  <si>
    <t>Q35. Average Profit (Category=Electronics AND Rating&gt;4)</t>
  </si>
  <si>
    <t>Advanced Conditional Challenges</t>
  </si>
  <si>
    <t>Q36. Total Sales Amount excluding North Region</t>
  </si>
  <si>
    <t>Q37. Count Total Orders excluding Furniture Category</t>
  </si>
  <si>
    <t>Q38. Average Profit excluding West Region</t>
  </si>
  <si>
    <t>Q39. Count Sales Reps whose names start with P</t>
  </si>
  <si>
    <t>Q40. Total Sales Amount (Region=North AND Product=Laptop AND Rating&gt;4)</t>
  </si>
</sst>
</file>

<file path=xl/styles.xml><?xml version="1.0" encoding="utf-8"?>
<styleSheet xmlns="http://schemas.openxmlformats.org/spreadsheetml/2006/main">
  <numFmts count="5">
    <numFmt numFmtId="176" formatCode="yyyy\-mm\-dd"/>
    <numFmt numFmtId="177" formatCode="_ * #,##0.00_ ;_ * \-#,##0.00_ ;_ * &quot;-&quot;??_ ;_ @_ 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</numFmts>
  <fonts count="26">
    <font>
      <sz val="11"/>
      <color theme="1"/>
      <name val="Calibri"/>
      <charset val="134"/>
    </font>
    <font>
      <b/>
      <sz val="12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D9E2F3"/>
        <bgColor rgb="FFCCFFFF"/>
      </patternFill>
    </fill>
    <fill>
      <patternFill patternType="solid">
        <fgColor theme="4" tint="0.3999"/>
        <bgColor rgb="FFC0C0C0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19" fillId="14" borderId="17" applyNumberFormat="0" applyAlignment="0" applyProtection="0">
      <alignment vertical="center"/>
    </xf>
    <xf numFmtId="180" fontId="6" fillId="0" borderId="0" applyBorder="0" applyAlignment="0" applyProtection="0"/>
    <xf numFmtId="0" fontId="11" fillId="34" borderId="0" applyNumberFormat="0" applyBorder="0" applyAlignment="0" applyProtection="0">
      <alignment vertical="center"/>
    </xf>
    <xf numFmtId="0" fontId="17" fillId="12" borderId="16" applyNumberFormat="0" applyFont="0" applyAlignment="0" applyProtection="0">
      <alignment vertical="center"/>
    </xf>
    <xf numFmtId="0" fontId="16" fillId="11" borderId="1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4" borderId="15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179" fontId="6" fillId="0" borderId="0" applyBorder="0" applyAlignment="0" applyProtection="0"/>
    <xf numFmtId="0" fontId="11" fillId="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178" fontId="6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177" fontId="6" fillId="0" borderId="0" applyBorder="0" applyAlignment="0" applyProtection="0"/>
    <xf numFmtId="0" fontId="8" fillId="6" borderId="13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9" fontId="6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/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E2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2F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1"/>
  <sheetViews>
    <sheetView workbookViewId="0">
      <selection activeCell="A1" sqref="A1"/>
    </sheetView>
  </sheetViews>
  <sheetFormatPr defaultColWidth="9" defaultRowHeight="14.25"/>
  <cols>
    <col min="1" max="1" width="9.61666666666667" style="12" customWidth="1"/>
    <col min="2" max="2" width="11.6166666666667" style="12" customWidth="1"/>
    <col min="3" max="3" width="7.61666666666667" style="12" customWidth="1"/>
    <col min="4" max="4" width="10.75" style="12" customWidth="1"/>
    <col min="5" max="5" width="8.38333333333333" style="12" customWidth="1"/>
    <col min="6" max="6" width="10.6166666666667" style="12" customWidth="1"/>
    <col min="7" max="7" width="11.1166666666667" style="12" customWidth="1"/>
    <col min="8" max="8" width="10.6166666666667" style="12" customWidth="1"/>
    <col min="9" max="9" width="14.6166666666667" style="12" customWidth="1"/>
    <col min="10" max="11" width="7.38333333333333" style="12" customWidth="1"/>
    <col min="12" max="12" width="17.5" style="12" customWidth="1"/>
    <col min="13" max="13" width="7.10833333333333" style="12" customWidth="1"/>
    <col min="14" max="14" width="21.625" style="12" customWidth="1"/>
  </cols>
  <sheetData>
    <row r="1" customHeight="1" spans="1:1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8" t="s">
        <v>13</v>
      </c>
    </row>
    <row r="2" customHeight="1" spans="1:14">
      <c r="A2" s="15" t="s">
        <v>14</v>
      </c>
      <c r="B2" s="16">
        <v>46042</v>
      </c>
      <c r="C2" s="17" t="s">
        <v>15</v>
      </c>
      <c r="D2" s="17" t="s">
        <v>16</v>
      </c>
      <c r="E2" s="17" t="s">
        <v>17</v>
      </c>
      <c r="F2" s="17" t="s">
        <v>18</v>
      </c>
      <c r="G2" s="17">
        <v>8</v>
      </c>
      <c r="H2" s="17">
        <v>52884</v>
      </c>
      <c r="I2" s="17">
        <v>423072</v>
      </c>
      <c r="J2" s="17">
        <v>275584</v>
      </c>
      <c r="K2" s="17">
        <v>147488</v>
      </c>
      <c r="L2" s="17">
        <v>4.5</v>
      </c>
      <c r="M2" s="19">
        <v>9111</v>
      </c>
      <c r="N2" s="20">
        <f>ROUND(I2/J2*L2,2)</f>
        <v>6.91</v>
      </c>
    </row>
    <row r="3" customHeight="1" spans="1:14">
      <c r="A3" s="15" t="s">
        <v>19</v>
      </c>
      <c r="B3" s="16">
        <v>46052</v>
      </c>
      <c r="C3" s="17" t="s">
        <v>15</v>
      </c>
      <c r="D3" s="17" t="s">
        <v>20</v>
      </c>
      <c r="E3" s="17" t="s">
        <v>21</v>
      </c>
      <c r="F3" s="17" t="s">
        <v>22</v>
      </c>
      <c r="G3" s="17">
        <v>10</v>
      </c>
      <c r="H3" s="17">
        <v>12681</v>
      </c>
      <c r="I3" s="17">
        <v>126810</v>
      </c>
      <c r="J3" s="17">
        <v>70170</v>
      </c>
      <c r="K3" s="17">
        <v>56640</v>
      </c>
      <c r="L3" s="17">
        <v>3.8</v>
      </c>
      <c r="M3" s="19">
        <v>18604</v>
      </c>
      <c r="N3" s="20">
        <f t="shared" ref="N3:N34" si="0">ROUND(I3/J3*L3,2)</f>
        <v>6.87</v>
      </c>
    </row>
    <row r="4" customHeight="1" spans="1:14">
      <c r="A4" s="15" t="s">
        <v>23</v>
      </c>
      <c r="B4" s="16">
        <v>46192</v>
      </c>
      <c r="C4" s="17" t="s">
        <v>24</v>
      </c>
      <c r="D4" s="17" t="s">
        <v>25</v>
      </c>
      <c r="E4" s="17" t="s">
        <v>26</v>
      </c>
      <c r="F4" s="17" t="s">
        <v>18</v>
      </c>
      <c r="G4" s="17">
        <v>15</v>
      </c>
      <c r="H4" s="17">
        <v>20473</v>
      </c>
      <c r="I4" s="17">
        <v>307095</v>
      </c>
      <c r="J4" s="17">
        <v>185415</v>
      </c>
      <c r="K4" s="17">
        <v>121680</v>
      </c>
      <c r="L4" s="17">
        <v>2.5</v>
      </c>
      <c r="M4" s="19">
        <v>17194</v>
      </c>
      <c r="N4" s="20">
        <f t="shared" si="0"/>
        <v>4.14</v>
      </c>
    </row>
    <row r="5" customHeight="1" spans="1:14">
      <c r="A5" s="15" t="s">
        <v>27</v>
      </c>
      <c r="B5" s="16">
        <v>46088</v>
      </c>
      <c r="C5" s="17" t="s">
        <v>28</v>
      </c>
      <c r="D5" s="17" t="s">
        <v>20</v>
      </c>
      <c r="E5" s="17" t="s">
        <v>29</v>
      </c>
      <c r="F5" s="17" t="s">
        <v>18</v>
      </c>
      <c r="G5" s="17">
        <v>12</v>
      </c>
      <c r="H5" s="17">
        <v>10572</v>
      </c>
      <c r="I5" s="17">
        <v>126864</v>
      </c>
      <c r="J5" s="17">
        <v>100080</v>
      </c>
      <c r="K5" s="17">
        <v>26784</v>
      </c>
      <c r="L5" s="17">
        <v>4.5</v>
      </c>
      <c r="M5" s="19">
        <v>6846</v>
      </c>
      <c r="N5" s="20">
        <f t="shared" si="0"/>
        <v>5.7</v>
      </c>
    </row>
    <row r="6" customHeight="1" spans="1:14">
      <c r="A6" s="15" t="s">
        <v>30</v>
      </c>
      <c r="B6" s="16">
        <v>46114</v>
      </c>
      <c r="C6" s="17" t="s">
        <v>28</v>
      </c>
      <c r="D6" s="17" t="s">
        <v>20</v>
      </c>
      <c r="E6" s="17" t="s">
        <v>21</v>
      </c>
      <c r="F6" s="17" t="s">
        <v>22</v>
      </c>
      <c r="G6" s="17">
        <v>17</v>
      </c>
      <c r="H6" s="17">
        <v>9731</v>
      </c>
      <c r="I6" s="17">
        <v>165427</v>
      </c>
      <c r="J6" s="17">
        <v>117011</v>
      </c>
      <c r="K6" s="17">
        <v>48416</v>
      </c>
      <c r="L6" s="17">
        <v>2.7</v>
      </c>
      <c r="M6" s="19">
        <v>9424</v>
      </c>
      <c r="N6" s="20">
        <f t="shared" si="0"/>
        <v>3.82</v>
      </c>
    </row>
    <row r="7" customHeight="1" spans="1:14">
      <c r="A7" s="15" t="s">
        <v>31</v>
      </c>
      <c r="B7" s="16">
        <v>46121</v>
      </c>
      <c r="C7" s="17" t="s">
        <v>24</v>
      </c>
      <c r="D7" s="17" t="s">
        <v>16</v>
      </c>
      <c r="E7" s="17" t="s">
        <v>32</v>
      </c>
      <c r="F7" s="17" t="s">
        <v>18</v>
      </c>
      <c r="G7" s="17">
        <v>4</v>
      </c>
      <c r="H7" s="17">
        <v>25302</v>
      </c>
      <c r="I7" s="17">
        <v>101208</v>
      </c>
      <c r="J7" s="17">
        <v>70888</v>
      </c>
      <c r="K7" s="17">
        <v>30320</v>
      </c>
      <c r="L7" s="17">
        <v>3</v>
      </c>
      <c r="M7" s="19">
        <v>13636</v>
      </c>
      <c r="N7" s="20">
        <f t="shared" si="0"/>
        <v>4.28</v>
      </c>
    </row>
    <row r="8" customHeight="1" spans="1:14">
      <c r="A8" s="15" t="s">
        <v>33</v>
      </c>
      <c r="B8" s="16">
        <v>46177</v>
      </c>
      <c r="C8" s="17" t="s">
        <v>15</v>
      </c>
      <c r="D8" s="17" t="s">
        <v>16</v>
      </c>
      <c r="E8" s="17" t="s">
        <v>26</v>
      </c>
      <c r="F8" s="17" t="s">
        <v>18</v>
      </c>
      <c r="G8" s="17">
        <v>2</v>
      </c>
      <c r="H8" s="17">
        <v>17049</v>
      </c>
      <c r="I8" s="17">
        <v>34098</v>
      </c>
      <c r="J8" s="17">
        <v>24600</v>
      </c>
      <c r="K8" s="17">
        <v>9498</v>
      </c>
      <c r="L8" s="17">
        <v>3.5</v>
      </c>
      <c r="M8" s="19">
        <v>14330</v>
      </c>
      <c r="N8" s="20">
        <f t="shared" si="0"/>
        <v>4.85</v>
      </c>
    </row>
    <row r="9" customHeight="1" spans="1:14">
      <c r="A9" s="15" t="s">
        <v>34</v>
      </c>
      <c r="B9" s="16">
        <v>46047</v>
      </c>
      <c r="C9" s="17" t="s">
        <v>15</v>
      </c>
      <c r="D9" s="17" t="s">
        <v>35</v>
      </c>
      <c r="E9" s="17" t="s">
        <v>21</v>
      </c>
      <c r="F9" s="17" t="s">
        <v>22</v>
      </c>
      <c r="G9" s="17">
        <v>9</v>
      </c>
      <c r="H9" s="17">
        <v>8298</v>
      </c>
      <c r="I9" s="17">
        <v>74682</v>
      </c>
      <c r="J9" s="17">
        <v>58707</v>
      </c>
      <c r="K9" s="17">
        <v>15975</v>
      </c>
      <c r="L9" s="17">
        <v>4.8</v>
      </c>
      <c r="M9" s="19">
        <v>6212</v>
      </c>
      <c r="N9" s="20">
        <f t="shared" si="0"/>
        <v>6.11</v>
      </c>
    </row>
    <row r="10" customHeight="1" spans="1:14">
      <c r="A10" s="15" t="s">
        <v>36</v>
      </c>
      <c r="B10" s="16">
        <v>46098</v>
      </c>
      <c r="C10" s="17" t="s">
        <v>37</v>
      </c>
      <c r="D10" s="17" t="s">
        <v>35</v>
      </c>
      <c r="E10" s="17" t="s">
        <v>17</v>
      </c>
      <c r="F10" s="17" t="s">
        <v>18</v>
      </c>
      <c r="G10" s="17">
        <v>17</v>
      </c>
      <c r="H10" s="17">
        <v>50547</v>
      </c>
      <c r="I10" s="17">
        <v>859299</v>
      </c>
      <c r="J10" s="17">
        <v>610232</v>
      </c>
      <c r="K10" s="17">
        <v>249067</v>
      </c>
      <c r="L10" s="17">
        <v>3.9</v>
      </c>
      <c r="M10" s="19">
        <v>12223</v>
      </c>
      <c r="N10" s="20">
        <f t="shared" si="0"/>
        <v>5.49</v>
      </c>
    </row>
    <row r="11" customHeight="1" spans="1:14">
      <c r="A11" s="15" t="s">
        <v>38</v>
      </c>
      <c r="B11" s="16">
        <v>46107</v>
      </c>
      <c r="C11" s="17" t="s">
        <v>24</v>
      </c>
      <c r="D11" s="17" t="s">
        <v>25</v>
      </c>
      <c r="E11" s="17" t="s">
        <v>17</v>
      </c>
      <c r="F11" s="17" t="s">
        <v>18</v>
      </c>
      <c r="G11" s="17">
        <v>9</v>
      </c>
      <c r="H11" s="17">
        <v>50985</v>
      </c>
      <c r="I11" s="17">
        <v>458865</v>
      </c>
      <c r="J11" s="17">
        <v>323217</v>
      </c>
      <c r="K11" s="17">
        <v>135648</v>
      </c>
      <c r="L11" s="17">
        <v>3.3</v>
      </c>
      <c r="M11" s="19">
        <v>9515</v>
      </c>
      <c r="N11" s="20">
        <f t="shared" si="0"/>
        <v>4.68</v>
      </c>
    </row>
    <row r="12" customHeight="1" spans="1:14">
      <c r="A12" s="15" t="s">
        <v>39</v>
      </c>
      <c r="B12" s="16">
        <v>46117</v>
      </c>
      <c r="C12" s="17" t="s">
        <v>28</v>
      </c>
      <c r="D12" s="17" t="s">
        <v>40</v>
      </c>
      <c r="E12" s="17" t="s">
        <v>32</v>
      </c>
      <c r="F12" s="17" t="s">
        <v>18</v>
      </c>
      <c r="G12" s="17">
        <v>4</v>
      </c>
      <c r="H12" s="17">
        <v>23654</v>
      </c>
      <c r="I12" s="17">
        <v>94616</v>
      </c>
      <c r="J12" s="17">
        <v>71880</v>
      </c>
      <c r="K12" s="17">
        <v>22736</v>
      </c>
      <c r="L12" s="17">
        <v>4.5</v>
      </c>
      <c r="M12" s="19">
        <v>6245</v>
      </c>
      <c r="N12" s="20">
        <f t="shared" si="0"/>
        <v>5.92</v>
      </c>
    </row>
    <row r="13" customHeight="1" spans="1:14">
      <c r="A13" s="15" t="s">
        <v>41</v>
      </c>
      <c r="B13" s="16">
        <v>46120</v>
      </c>
      <c r="C13" s="17" t="s">
        <v>15</v>
      </c>
      <c r="D13" s="17" t="s">
        <v>42</v>
      </c>
      <c r="E13" s="17" t="s">
        <v>29</v>
      </c>
      <c r="F13" s="17" t="s">
        <v>18</v>
      </c>
      <c r="G13" s="17">
        <v>19</v>
      </c>
      <c r="H13" s="17">
        <v>13121</v>
      </c>
      <c r="I13" s="17">
        <v>249299</v>
      </c>
      <c r="J13" s="17">
        <v>166402</v>
      </c>
      <c r="K13" s="17">
        <v>82897</v>
      </c>
      <c r="L13" s="17">
        <v>3.3</v>
      </c>
      <c r="M13" s="19">
        <v>13125</v>
      </c>
      <c r="N13" s="20">
        <f t="shared" si="0"/>
        <v>4.94</v>
      </c>
    </row>
    <row r="14" customHeight="1" spans="1:14">
      <c r="A14" s="15" t="s">
        <v>43</v>
      </c>
      <c r="B14" s="16">
        <v>46092</v>
      </c>
      <c r="C14" s="17" t="s">
        <v>15</v>
      </c>
      <c r="D14" s="17" t="s">
        <v>20</v>
      </c>
      <c r="E14" s="17" t="s">
        <v>29</v>
      </c>
      <c r="F14" s="17" t="s">
        <v>18</v>
      </c>
      <c r="G14" s="17">
        <v>9</v>
      </c>
      <c r="H14" s="17">
        <v>12182</v>
      </c>
      <c r="I14" s="17">
        <v>109638</v>
      </c>
      <c r="J14" s="17">
        <v>71892</v>
      </c>
      <c r="K14" s="17">
        <v>37746</v>
      </c>
      <c r="L14" s="17">
        <v>2.7</v>
      </c>
      <c r="M14" s="19">
        <v>16644</v>
      </c>
      <c r="N14" s="20">
        <f t="shared" si="0"/>
        <v>4.12</v>
      </c>
    </row>
    <row r="15" customHeight="1" spans="1:14">
      <c r="A15" s="15" t="s">
        <v>44</v>
      </c>
      <c r="B15" s="16">
        <v>46199</v>
      </c>
      <c r="C15" s="17" t="s">
        <v>28</v>
      </c>
      <c r="D15" s="17" t="s">
        <v>25</v>
      </c>
      <c r="E15" s="17" t="s">
        <v>32</v>
      </c>
      <c r="F15" s="17" t="s">
        <v>18</v>
      </c>
      <c r="G15" s="17">
        <v>17</v>
      </c>
      <c r="H15" s="17">
        <v>25597</v>
      </c>
      <c r="I15" s="17">
        <v>435149</v>
      </c>
      <c r="J15" s="17">
        <v>321929</v>
      </c>
      <c r="K15" s="17">
        <v>113220</v>
      </c>
      <c r="L15" s="17">
        <v>4</v>
      </c>
      <c r="M15" s="19">
        <v>12747</v>
      </c>
      <c r="N15" s="20">
        <f t="shared" si="0"/>
        <v>5.41</v>
      </c>
    </row>
    <row r="16" customHeight="1" spans="1:14">
      <c r="A16" s="15" t="s">
        <v>45</v>
      </c>
      <c r="B16" s="16">
        <v>46183</v>
      </c>
      <c r="C16" s="17" t="s">
        <v>15</v>
      </c>
      <c r="D16" s="17" t="s">
        <v>35</v>
      </c>
      <c r="E16" s="17" t="s">
        <v>17</v>
      </c>
      <c r="F16" s="17" t="s">
        <v>18</v>
      </c>
      <c r="G16" s="17">
        <v>1</v>
      </c>
      <c r="H16" s="17">
        <v>50751</v>
      </c>
      <c r="I16" s="17">
        <v>50751</v>
      </c>
      <c r="J16" s="17">
        <v>34697</v>
      </c>
      <c r="K16" s="17">
        <v>16054</v>
      </c>
      <c r="L16" s="17">
        <v>4</v>
      </c>
      <c r="M16" s="19">
        <v>14367</v>
      </c>
      <c r="N16" s="20">
        <f t="shared" si="0"/>
        <v>5.85</v>
      </c>
    </row>
    <row r="17" customHeight="1" spans="1:14">
      <c r="A17" s="15" t="s">
        <v>46</v>
      </c>
      <c r="B17" s="16">
        <v>46139</v>
      </c>
      <c r="C17" s="17" t="s">
        <v>24</v>
      </c>
      <c r="D17" s="17" t="s">
        <v>40</v>
      </c>
      <c r="E17" s="17" t="s">
        <v>17</v>
      </c>
      <c r="F17" s="17" t="s">
        <v>18</v>
      </c>
      <c r="G17" s="17">
        <v>17</v>
      </c>
      <c r="H17" s="17">
        <v>51023</v>
      </c>
      <c r="I17" s="17">
        <v>867391</v>
      </c>
      <c r="J17" s="17">
        <v>593317</v>
      </c>
      <c r="K17" s="17">
        <v>274074</v>
      </c>
      <c r="L17" s="17">
        <v>3.7</v>
      </c>
      <c r="M17" s="19">
        <v>18071</v>
      </c>
      <c r="N17" s="20">
        <f t="shared" si="0"/>
        <v>5.41</v>
      </c>
    </row>
    <row r="18" customHeight="1" spans="1:14">
      <c r="A18" s="15" t="s">
        <v>47</v>
      </c>
      <c r="B18" s="16">
        <v>46050</v>
      </c>
      <c r="C18" s="17" t="s">
        <v>15</v>
      </c>
      <c r="D18" s="17" t="s">
        <v>48</v>
      </c>
      <c r="E18" s="17" t="s">
        <v>17</v>
      </c>
      <c r="F18" s="17" t="s">
        <v>18</v>
      </c>
      <c r="G18" s="17">
        <v>18</v>
      </c>
      <c r="H18" s="17">
        <v>52933</v>
      </c>
      <c r="I18" s="17">
        <v>952794</v>
      </c>
      <c r="J18" s="17">
        <v>621126</v>
      </c>
      <c r="K18" s="17">
        <v>331668</v>
      </c>
      <c r="L18" s="17">
        <v>3.5</v>
      </c>
      <c r="M18" s="19">
        <v>19830</v>
      </c>
      <c r="N18" s="20">
        <f t="shared" si="0"/>
        <v>5.37</v>
      </c>
    </row>
    <row r="19" customHeight="1" spans="1:14">
      <c r="A19" s="15" t="s">
        <v>49</v>
      </c>
      <c r="B19" s="16">
        <v>46023</v>
      </c>
      <c r="C19" s="17" t="s">
        <v>37</v>
      </c>
      <c r="D19" s="17" t="s">
        <v>48</v>
      </c>
      <c r="E19" s="17" t="s">
        <v>26</v>
      </c>
      <c r="F19" s="17" t="s">
        <v>18</v>
      </c>
      <c r="G19" s="17">
        <v>8</v>
      </c>
      <c r="H19" s="17">
        <v>16921</v>
      </c>
      <c r="I19" s="17">
        <v>135368</v>
      </c>
      <c r="J19" s="17">
        <v>94216</v>
      </c>
      <c r="K19" s="17">
        <v>41152</v>
      </c>
      <c r="L19" s="17">
        <v>2.5</v>
      </c>
      <c r="M19" s="19">
        <v>13991</v>
      </c>
      <c r="N19" s="20">
        <f t="shared" si="0"/>
        <v>3.59</v>
      </c>
    </row>
    <row r="20" customHeight="1" spans="1:14">
      <c r="A20" s="15" t="s">
        <v>50</v>
      </c>
      <c r="B20" s="16">
        <v>46049</v>
      </c>
      <c r="C20" s="17" t="s">
        <v>28</v>
      </c>
      <c r="D20" s="17" t="s">
        <v>42</v>
      </c>
      <c r="E20" s="17" t="s">
        <v>21</v>
      </c>
      <c r="F20" s="17" t="s">
        <v>22</v>
      </c>
      <c r="G20" s="17">
        <v>7</v>
      </c>
      <c r="H20" s="17">
        <v>10818</v>
      </c>
      <c r="I20" s="17">
        <v>75726</v>
      </c>
      <c r="J20" s="17">
        <v>49266</v>
      </c>
      <c r="K20" s="17">
        <v>26460</v>
      </c>
      <c r="L20" s="17">
        <v>3.4</v>
      </c>
      <c r="M20" s="19">
        <v>14271</v>
      </c>
      <c r="N20" s="20">
        <f t="shared" si="0"/>
        <v>5.23</v>
      </c>
    </row>
    <row r="21" customHeight="1" spans="1:14">
      <c r="A21" s="15" t="s">
        <v>51</v>
      </c>
      <c r="B21" s="16">
        <v>46091</v>
      </c>
      <c r="C21" s="17" t="s">
        <v>37</v>
      </c>
      <c r="D21" s="17" t="s">
        <v>52</v>
      </c>
      <c r="E21" s="17" t="s">
        <v>26</v>
      </c>
      <c r="F21" s="17" t="s">
        <v>18</v>
      </c>
      <c r="G21" s="17">
        <v>7</v>
      </c>
      <c r="H21" s="17">
        <v>16511</v>
      </c>
      <c r="I21" s="17">
        <v>115577</v>
      </c>
      <c r="J21" s="17">
        <v>83566</v>
      </c>
      <c r="K21" s="17">
        <v>32011</v>
      </c>
      <c r="L21" s="17">
        <v>3.9</v>
      </c>
      <c r="M21" s="19">
        <v>9596</v>
      </c>
      <c r="N21" s="20">
        <f t="shared" si="0"/>
        <v>5.39</v>
      </c>
    </row>
    <row r="22" customHeight="1" spans="1:14">
      <c r="A22" s="15" t="s">
        <v>53</v>
      </c>
      <c r="B22" s="16">
        <v>46115</v>
      </c>
      <c r="C22" s="17" t="s">
        <v>37</v>
      </c>
      <c r="D22" s="17" t="s">
        <v>52</v>
      </c>
      <c r="E22" s="17" t="s">
        <v>54</v>
      </c>
      <c r="F22" s="17" t="s">
        <v>22</v>
      </c>
      <c r="G22" s="17">
        <v>5</v>
      </c>
      <c r="H22" s="17">
        <v>7291</v>
      </c>
      <c r="I22" s="17">
        <v>36455</v>
      </c>
      <c r="J22" s="17">
        <v>12155</v>
      </c>
      <c r="K22" s="17">
        <v>24300</v>
      </c>
      <c r="L22" s="17">
        <v>4.9</v>
      </c>
      <c r="M22" s="19">
        <v>7199</v>
      </c>
      <c r="N22" s="20">
        <f t="shared" si="0"/>
        <v>14.7</v>
      </c>
    </row>
    <row r="23" customHeight="1" spans="1:14">
      <c r="A23" s="15" t="s">
        <v>55</v>
      </c>
      <c r="B23" s="16">
        <v>46116</v>
      </c>
      <c r="C23" s="17" t="s">
        <v>15</v>
      </c>
      <c r="D23" s="17" t="s">
        <v>48</v>
      </c>
      <c r="E23" s="17" t="s">
        <v>32</v>
      </c>
      <c r="F23" s="17" t="s">
        <v>18</v>
      </c>
      <c r="G23" s="17">
        <v>19</v>
      </c>
      <c r="H23" s="17">
        <v>23109</v>
      </c>
      <c r="I23" s="17">
        <v>439071</v>
      </c>
      <c r="J23" s="17">
        <v>333792</v>
      </c>
      <c r="K23" s="17">
        <v>105279</v>
      </c>
      <c r="L23" s="17">
        <v>4.8</v>
      </c>
      <c r="M23" s="19">
        <v>18729</v>
      </c>
      <c r="N23" s="20">
        <f t="shared" si="0"/>
        <v>6.31</v>
      </c>
    </row>
    <row r="24" customHeight="1" spans="1:14">
      <c r="A24" s="15" t="s">
        <v>56</v>
      </c>
      <c r="B24" s="16">
        <v>46092</v>
      </c>
      <c r="C24" s="17" t="s">
        <v>24</v>
      </c>
      <c r="D24" s="17" t="s">
        <v>16</v>
      </c>
      <c r="E24" s="17" t="s">
        <v>21</v>
      </c>
      <c r="F24" s="17" t="s">
        <v>22</v>
      </c>
      <c r="G24" s="17">
        <v>12</v>
      </c>
      <c r="H24" s="17">
        <v>8062</v>
      </c>
      <c r="I24" s="17">
        <v>96744</v>
      </c>
      <c r="J24" s="17">
        <v>71772</v>
      </c>
      <c r="K24" s="17">
        <v>24972</v>
      </c>
      <c r="L24" s="17">
        <v>4.1</v>
      </c>
      <c r="M24" s="19">
        <v>14445</v>
      </c>
      <c r="N24" s="20">
        <f t="shared" si="0"/>
        <v>5.53</v>
      </c>
    </row>
    <row r="25" customHeight="1" spans="1:14">
      <c r="A25" s="15" t="s">
        <v>57</v>
      </c>
      <c r="B25" s="16">
        <v>46201</v>
      </c>
      <c r="C25" s="17" t="s">
        <v>37</v>
      </c>
      <c r="D25" s="17" t="s">
        <v>16</v>
      </c>
      <c r="E25" s="17" t="s">
        <v>29</v>
      </c>
      <c r="F25" s="17" t="s">
        <v>18</v>
      </c>
      <c r="G25" s="17">
        <v>9</v>
      </c>
      <c r="H25" s="17">
        <v>12005</v>
      </c>
      <c r="I25" s="17">
        <v>108045</v>
      </c>
      <c r="J25" s="17">
        <v>63783</v>
      </c>
      <c r="K25" s="17">
        <v>44262</v>
      </c>
      <c r="L25" s="17">
        <v>4.2</v>
      </c>
      <c r="M25" s="19">
        <v>11205</v>
      </c>
      <c r="N25" s="20">
        <f t="shared" si="0"/>
        <v>7.11</v>
      </c>
    </row>
    <row r="26" customHeight="1" spans="1:14">
      <c r="A26" s="15" t="s">
        <v>58</v>
      </c>
      <c r="B26" s="16">
        <v>46098</v>
      </c>
      <c r="C26" s="17" t="s">
        <v>24</v>
      </c>
      <c r="D26" s="17" t="s">
        <v>35</v>
      </c>
      <c r="E26" s="17" t="s">
        <v>29</v>
      </c>
      <c r="F26" s="17" t="s">
        <v>18</v>
      </c>
      <c r="G26" s="17">
        <v>15</v>
      </c>
      <c r="H26" s="17">
        <v>12576</v>
      </c>
      <c r="I26" s="17">
        <v>188640</v>
      </c>
      <c r="J26" s="17">
        <v>134490</v>
      </c>
      <c r="K26" s="17">
        <v>54150</v>
      </c>
      <c r="L26" s="17">
        <v>3</v>
      </c>
      <c r="M26" s="19">
        <v>5705</v>
      </c>
      <c r="N26" s="20">
        <f t="shared" si="0"/>
        <v>4.21</v>
      </c>
    </row>
    <row r="27" customHeight="1" spans="1:14">
      <c r="A27" s="15" t="s">
        <v>59</v>
      </c>
      <c r="B27" s="16">
        <v>46152</v>
      </c>
      <c r="C27" s="17" t="s">
        <v>28</v>
      </c>
      <c r="D27" s="17" t="s">
        <v>16</v>
      </c>
      <c r="E27" s="17" t="s">
        <v>26</v>
      </c>
      <c r="F27" s="17" t="s">
        <v>18</v>
      </c>
      <c r="G27" s="17">
        <v>11</v>
      </c>
      <c r="H27" s="17">
        <v>17565</v>
      </c>
      <c r="I27" s="17">
        <v>193215</v>
      </c>
      <c r="J27" s="17">
        <v>125301</v>
      </c>
      <c r="K27" s="17">
        <v>67914</v>
      </c>
      <c r="L27" s="17">
        <v>3.5</v>
      </c>
      <c r="M27" s="19">
        <v>18761</v>
      </c>
      <c r="N27" s="20">
        <f t="shared" si="0"/>
        <v>5.4</v>
      </c>
    </row>
    <row r="28" customHeight="1" spans="1:14">
      <c r="A28" s="15" t="s">
        <v>60</v>
      </c>
      <c r="B28" s="16">
        <v>46099</v>
      </c>
      <c r="C28" s="17" t="s">
        <v>15</v>
      </c>
      <c r="D28" s="17" t="s">
        <v>42</v>
      </c>
      <c r="E28" s="17" t="s">
        <v>26</v>
      </c>
      <c r="F28" s="17" t="s">
        <v>18</v>
      </c>
      <c r="G28" s="17">
        <v>14</v>
      </c>
      <c r="H28" s="17">
        <v>16969</v>
      </c>
      <c r="I28" s="17">
        <v>237566</v>
      </c>
      <c r="J28" s="17">
        <v>178458</v>
      </c>
      <c r="K28" s="17">
        <v>59108</v>
      </c>
      <c r="L28" s="17">
        <v>2.6</v>
      </c>
      <c r="M28" s="19">
        <v>11683</v>
      </c>
      <c r="N28" s="20">
        <f t="shared" si="0"/>
        <v>3.46</v>
      </c>
    </row>
    <row r="29" customHeight="1" spans="1:14">
      <c r="A29" s="15" t="s">
        <v>61</v>
      </c>
      <c r="B29" s="16">
        <v>46196</v>
      </c>
      <c r="C29" s="17" t="s">
        <v>15</v>
      </c>
      <c r="D29" s="17" t="s">
        <v>16</v>
      </c>
      <c r="E29" s="17" t="s">
        <v>17</v>
      </c>
      <c r="F29" s="17" t="s">
        <v>18</v>
      </c>
      <c r="G29" s="17">
        <v>9</v>
      </c>
      <c r="H29" s="17">
        <v>52170</v>
      </c>
      <c r="I29" s="17">
        <v>469530</v>
      </c>
      <c r="J29" s="17">
        <v>320436</v>
      </c>
      <c r="K29" s="17">
        <v>149094</v>
      </c>
      <c r="L29" s="17">
        <v>4.8</v>
      </c>
      <c r="M29" s="19">
        <v>5763</v>
      </c>
      <c r="N29" s="20">
        <f t="shared" si="0"/>
        <v>7.03</v>
      </c>
    </row>
    <row r="30" customHeight="1" spans="1:14">
      <c r="A30" s="15" t="s">
        <v>62</v>
      </c>
      <c r="B30" s="16">
        <v>46109</v>
      </c>
      <c r="C30" s="17" t="s">
        <v>28</v>
      </c>
      <c r="D30" s="17" t="s">
        <v>40</v>
      </c>
      <c r="E30" s="17" t="s">
        <v>32</v>
      </c>
      <c r="F30" s="17" t="s">
        <v>18</v>
      </c>
      <c r="G30" s="17">
        <v>17</v>
      </c>
      <c r="H30" s="17">
        <v>23703</v>
      </c>
      <c r="I30" s="17">
        <v>402951</v>
      </c>
      <c r="J30" s="17">
        <v>304589</v>
      </c>
      <c r="K30" s="17">
        <v>98362</v>
      </c>
      <c r="L30" s="17">
        <v>4</v>
      </c>
      <c r="M30" s="19">
        <v>12749</v>
      </c>
      <c r="N30" s="20">
        <f t="shared" si="0"/>
        <v>5.29</v>
      </c>
    </row>
    <row r="31" customHeight="1" spans="1:14">
      <c r="A31" s="15" t="s">
        <v>63</v>
      </c>
      <c r="B31" s="16">
        <v>46074</v>
      </c>
      <c r="C31" s="17" t="s">
        <v>37</v>
      </c>
      <c r="D31" s="17" t="s">
        <v>52</v>
      </c>
      <c r="E31" s="17" t="s">
        <v>29</v>
      </c>
      <c r="F31" s="17" t="s">
        <v>18</v>
      </c>
      <c r="G31" s="17">
        <v>6</v>
      </c>
      <c r="H31" s="17">
        <v>12771</v>
      </c>
      <c r="I31" s="17">
        <v>76626</v>
      </c>
      <c r="J31" s="17">
        <v>45654</v>
      </c>
      <c r="K31" s="17">
        <v>30972</v>
      </c>
      <c r="L31" s="17">
        <v>2.8</v>
      </c>
      <c r="M31" s="19">
        <v>18134</v>
      </c>
      <c r="N31" s="20">
        <f t="shared" si="0"/>
        <v>4.7</v>
      </c>
    </row>
    <row r="32" customHeight="1" spans="1:14">
      <c r="A32" s="15" t="s">
        <v>64</v>
      </c>
      <c r="B32" s="16">
        <v>46157</v>
      </c>
      <c r="C32" s="17" t="s">
        <v>37</v>
      </c>
      <c r="D32" s="17" t="s">
        <v>35</v>
      </c>
      <c r="E32" s="17" t="s">
        <v>29</v>
      </c>
      <c r="F32" s="17" t="s">
        <v>18</v>
      </c>
      <c r="G32" s="17">
        <v>7</v>
      </c>
      <c r="H32" s="17">
        <v>11394</v>
      </c>
      <c r="I32" s="17">
        <v>79758</v>
      </c>
      <c r="J32" s="17">
        <v>51975</v>
      </c>
      <c r="K32" s="17">
        <v>27783</v>
      </c>
      <c r="L32" s="17">
        <v>3.2</v>
      </c>
      <c r="M32" s="19">
        <v>15741</v>
      </c>
      <c r="N32" s="20">
        <f t="shared" si="0"/>
        <v>4.91</v>
      </c>
    </row>
    <row r="33" customHeight="1" spans="1:14">
      <c r="A33" s="15" t="s">
        <v>65</v>
      </c>
      <c r="B33" s="16">
        <v>46043</v>
      </c>
      <c r="C33" s="17" t="s">
        <v>37</v>
      </c>
      <c r="D33" s="17" t="s">
        <v>35</v>
      </c>
      <c r="E33" s="17" t="s">
        <v>32</v>
      </c>
      <c r="F33" s="17" t="s">
        <v>18</v>
      </c>
      <c r="G33" s="17">
        <v>8</v>
      </c>
      <c r="H33" s="17">
        <v>23363</v>
      </c>
      <c r="I33" s="17">
        <v>186904</v>
      </c>
      <c r="J33" s="17">
        <v>144456</v>
      </c>
      <c r="K33" s="17">
        <v>42448</v>
      </c>
      <c r="L33" s="17">
        <v>4.8</v>
      </c>
      <c r="M33" s="19">
        <v>5015</v>
      </c>
      <c r="N33" s="20">
        <f t="shared" si="0"/>
        <v>6.21</v>
      </c>
    </row>
    <row r="34" customHeight="1" spans="1:14">
      <c r="A34" s="15" t="s">
        <v>66</v>
      </c>
      <c r="B34" s="16">
        <v>46194</v>
      </c>
      <c r="C34" s="17" t="s">
        <v>24</v>
      </c>
      <c r="D34" s="17" t="s">
        <v>25</v>
      </c>
      <c r="E34" s="17" t="s">
        <v>21</v>
      </c>
      <c r="F34" s="17" t="s">
        <v>22</v>
      </c>
      <c r="G34" s="17">
        <v>9</v>
      </c>
      <c r="H34" s="17">
        <v>8035</v>
      </c>
      <c r="I34" s="17">
        <v>72315</v>
      </c>
      <c r="J34" s="17">
        <v>65853</v>
      </c>
      <c r="K34" s="17">
        <v>6462</v>
      </c>
      <c r="L34" s="17">
        <v>3.3</v>
      </c>
      <c r="M34" s="19">
        <v>12695</v>
      </c>
      <c r="N34" s="20">
        <f t="shared" si="0"/>
        <v>3.62</v>
      </c>
    </row>
    <row r="35" customHeight="1" spans="1:14">
      <c r="A35" s="15" t="s">
        <v>67</v>
      </c>
      <c r="B35" s="16">
        <v>46109</v>
      </c>
      <c r="C35" s="17" t="s">
        <v>15</v>
      </c>
      <c r="D35" s="17" t="s">
        <v>48</v>
      </c>
      <c r="E35" s="17" t="s">
        <v>26</v>
      </c>
      <c r="F35" s="17" t="s">
        <v>18</v>
      </c>
      <c r="G35" s="17">
        <v>17</v>
      </c>
      <c r="H35" s="17">
        <v>20527</v>
      </c>
      <c r="I35" s="17">
        <v>348959</v>
      </c>
      <c r="J35" s="17">
        <v>212789</v>
      </c>
      <c r="K35" s="17">
        <v>136170</v>
      </c>
      <c r="L35" s="17">
        <v>5</v>
      </c>
      <c r="M35" s="19">
        <v>11114</v>
      </c>
      <c r="N35" s="20">
        <f t="shared" ref="N35:N66" si="1">ROUND(I35/J35*L35,2)</f>
        <v>8.2</v>
      </c>
    </row>
    <row r="36" customHeight="1" spans="1:14">
      <c r="A36" s="15" t="s">
        <v>68</v>
      </c>
      <c r="B36" s="16">
        <v>46055</v>
      </c>
      <c r="C36" s="17" t="s">
        <v>37</v>
      </c>
      <c r="D36" s="17" t="s">
        <v>20</v>
      </c>
      <c r="E36" s="17" t="s">
        <v>21</v>
      </c>
      <c r="F36" s="17" t="s">
        <v>22</v>
      </c>
      <c r="G36" s="17">
        <v>5</v>
      </c>
      <c r="H36" s="17">
        <v>10526</v>
      </c>
      <c r="I36" s="17">
        <v>52630</v>
      </c>
      <c r="J36" s="17">
        <v>37180</v>
      </c>
      <c r="K36" s="17">
        <v>15450</v>
      </c>
      <c r="L36" s="17">
        <v>4.7</v>
      </c>
      <c r="M36" s="19">
        <v>15240</v>
      </c>
      <c r="N36" s="20">
        <f t="shared" si="1"/>
        <v>6.65</v>
      </c>
    </row>
    <row r="37" customHeight="1" spans="1:14">
      <c r="A37" s="15" t="s">
        <v>69</v>
      </c>
      <c r="B37" s="16">
        <v>46146</v>
      </c>
      <c r="C37" s="17" t="s">
        <v>37</v>
      </c>
      <c r="D37" s="17" t="s">
        <v>48</v>
      </c>
      <c r="E37" s="17" t="s">
        <v>32</v>
      </c>
      <c r="F37" s="17" t="s">
        <v>18</v>
      </c>
      <c r="G37" s="17">
        <v>7</v>
      </c>
      <c r="H37" s="17">
        <v>25385</v>
      </c>
      <c r="I37" s="17">
        <v>177695</v>
      </c>
      <c r="J37" s="17">
        <v>124712</v>
      </c>
      <c r="K37" s="17">
        <v>52983</v>
      </c>
      <c r="L37" s="17">
        <v>4.6</v>
      </c>
      <c r="M37" s="19">
        <v>8364</v>
      </c>
      <c r="N37" s="20">
        <f t="shared" si="1"/>
        <v>6.55</v>
      </c>
    </row>
    <row r="38" customHeight="1" spans="1:14">
      <c r="A38" s="15" t="s">
        <v>70</v>
      </c>
      <c r="B38" s="16">
        <v>46155</v>
      </c>
      <c r="C38" s="17" t="s">
        <v>28</v>
      </c>
      <c r="D38" s="17" t="s">
        <v>52</v>
      </c>
      <c r="E38" s="17" t="s">
        <v>54</v>
      </c>
      <c r="F38" s="17" t="s">
        <v>22</v>
      </c>
      <c r="G38" s="17">
        <v>17</v>
      </c>
      <c r="H38" s="17">
        <v>3111</v>
      </c>
      <c r="I38" s="17">
        <v>52887</v>
      </c>
      <c r="J38" s="17">
        <v>66572</v>
      </c>
      <c r="K38" s="17">
        <v>-13685</v>
      </c>
      <c r="L38" s="17">
        <v>3.9</v>
      </c>
      <c r="M38" s="19">
        <v>19368</v>
      </c>
      <c r="N38" s="20">
        <f t="shared" si="1"/>
        <v>3.1</v>
      </c>
    </row>
    <row r="39" customHeight="1" spans="1:14">
      <c r="A39" s="15" t="s">
        <v>71</v>
      </c>
      <c r="B39" s="16">
        <v>46116</v>
      </c>
      <c r="C39" s="17" t="s">
        <v>15</v>
      </c>
      <c r="D39" s="17" t="s">
        <v>20</v>
      </c>
      <c r="E39" s="17" t="s">
        <v>17</v>
      </c>
      <c r="F39" s="17" t="s">
        <v>18</v>
      </c>
      <c r="G39" s="17">
        <v>20</v>
      </c>
      <c r="H39" s="17">
        <v>48812</v>
      </c>
      <c r="I39" s="17">
        <v>976240</v>
      </c>
      <c r="J39" s="17">
        <v>686720</v>
      </c>
      <c r="K39" s="17">
        <v>289520</v>
      </c>
      <c r="L39" s="17">
        <v>3</v>
      </c>
      <c r="M39" s="19">
        <v>19848</v>
      </c>
      <c r="N39" s="20">
        <f t="shared" si="1"/>
        <v>4.26</v>
      </c>
    </row>
    <row r="40" customHeight="1" spans="1:14">
      <c r="A40" s="15" t="s">
        <v>72</v>
      </c>
      <c r="B40" s="16">
        <v>46118</v>
      </c>
      <c r="C40" s="17" t="s">
        <v>28</v>
      </c>
      <c r="D40" s="17" t="s">
        <v>35</v>
      </c>
      <c r="E40" s="17" t="s">
        <v>26</v>
      </c>
      <c r="F40" s="17" t="s">
        <v>18</v>
      </c>
      <c r="G40" s="17">
        <v>18</v>
      </c>
      <c r="H40" s="17">
        <v>20338</v>
      </c>
      <c r="I40" s="17">
        <v>366084</v>
      </c>
      <c r="J40" s="17">
        <v>212220</v>
      </c>
      <c r="K40" s="17">
        <v>153864</v>
      </c>
      <c r="L40" s="17">
        <v>2.6</v>
      </c>
      <c r="M40" s="19">
        <v>9563</v>
      </c>
      <c r="N40" s="20">
        <f t="shared" si="1"/>
        <v>4.49</v>
      </c>
    </row>
    <row r="41" customHeight="1" spans="1:14">
      <c r="A41" s="15" t="s">
        <v>73</v>
      </c>
      <c r="B41" s="16">
        <v>46125</v>
      </c>
      <c r="C41" s="17" t="s">
        <v>28</v>
      </c>
      <c r="D41" s="17" t="s">
        <v>40</v>
      </c>
      <c r="E41" s="17" t="s">
        <v>54</v>
      </c>
      <c r="F41" s="17" t="s">
        <v>22</v>
      </c>
      <c r="G41" s="17">
        <v>5</v>
      </c>
      <c r="H41" s="17">
        <v>5442</v>
      </c>
      <c r="I41" s="17">
        <v>27210</v>
      </c>
      <c r="J41" s="17">
        <v>10495</v>
      </c>
      <c r="K41" s="17">
        <v>16715</v>
      </c>
      <c r="L41" s="17">
        <v>5</v>
      </c>
      <c r="M41" s="19">
        <v>18186</v>
      </c>
      <c r="N41" s="20">
        <f t="shared" si="1"/>
        <v>12.96</v>
      </c>
    </row>
    <row r="42" customHeight="1" spans="1:14">
      <c r="A42" s="15" t="s">
        <v>74</v>
      </c>
      <c r="B42" s="16">
        <v>46052</v>
      </c>
      <c r="C42" s="17" t="s">
        <v>37</v>
      </c>
      <c r="D42" s="17" t="s">
        <v>42</v>
      </c>
      <c r="E42" s="17" t="s">
        <v>21</v>
      </c>
      <c r="F42" s="17" t="s">
        <v>22</v>
      </c>
      <c r="G42" s="17">
        <v>1</v>
      </c>
      <c r="H42" s="17">
        <v>10744</v>
      </c>
      <c r="I42" s="17">
        <v>10744</v>
      </c>
      <c r="J42" s="17">
        <v>6463</v>
      </c>
      <c r="K42" s="17">
        <v>4281</v>
      </c>
      <c r="L42" s="17">
        <v>2.8</v>
      </c>
      <c r="M42" s="19">
        <v>7859</v>
      </c>
      <c r="N42" s="20">
        <f t="shared" si="1"/>
        <v>4.65</v>
      </c>
    </row>
    <row r="43" customHeight="1" spans="1:14">
      <c r="A43" s="15" t="s">
        <v>75</v>
      </c>
      <c r="B43" s="16">
        <v>46179</v>
      </c>
      <c r="C43" s="17" t="s">
        <v>24</v>
      </c>
      <c r="D43" s="17" t="s">
        <v>25</v>
      </c>
      <c r="E43" s="17" t="s">
        <v>17</v>
      </c>
      <c r="F43" s="17" t="s">
        <v>18</v>
      </c>
      <c r="G43" s="17">
        <v>9</v>
      </c>
      <c r="H43" s="17">
        <v>51437</v>
      </c>
      <c r="I43" s="17">
        <v>462933</v>
      </c>
      <c r="J43" s="17">
        <v>306711</v>
      </c>
      <c r="K43" s="17">
        <v>156222</v>
      </c>
      <c r="L43" s="17">
        <v>4.6</v>
      </c>
      <c r="M43" s="19">
        <v>11773</v>
      </c>
      <c r="N43" s="20">
        <f t="shared" si="1"/>
        <v>6.94</v>
      </c>
    </row>
    <row r="44" customHeight="1" spans="1:14">
      <c r="A44" s="15" t="s">
        <v>76</v>
      </c>
      <c r="B44" s="16">
        <v>46092</v>
      </c>
      <c r="C44" s="17" t="s">
        <v>15</v>
      </c>
      <c r="D44" s="17" t="s">
        <v>48</v>
      </c>
      <c r="E44" s="17" t="s">
        <v>32</v>
      </c>
      <c r="F44" s="17" t="s">
        <v>18</v>
      </c>
      <c r="G44" s="17">
        <v>14</v>
      </c>
      <c r="H44" s="17">
        <v>27605</v>
      </c>
      <c r="I44" s="17">
        <v>386470</v>
      </c>
      <c r="J44" s="17">
        <v>254884</v>
      </c>
      <c r="K44" s="17">
        <v>131586</v>
      </c>
      <c r="L44" s="17">
        <v>4.8</v>
      </c>
      <c r="M44" s="19">
        <v>6092</v>
      </c>
      <c r="N44" s="20">
        <f t="shared" si="1"/>
        <v>7.28</v>
      </c>
    </row>
    <row r="45" customHeight="1" spans="1:14">
      <c r="A45" s="15" t="s">
        <v>77</v>
      </c>
      <c r="B45" s="16">
        <v>46124</v>
      </c>
      <c r="C45" s="17" t="s">
        <v>37</v>
      </c>
      <c r="D45" s="17" t="s">
        <v>16</v>
      </c>
      <c r="E45" s="17" t="s">
        <v>54</v>
      </c>
      <c r="F45" s="17" t="s">
        <v>22</v>
      </c>
      <c r="G45" s="17">
        <v>7</v>
      </c>
      <c r="H45" s="17">
        <v>4370</v>
      </c>
      <c r="I45" s="17">
        <v>30590</v>
      </c>
      <c r="J45" s="17">
        <v>19621</v>
      </c>
      <c r="K45" s="17">
        <v>10969</v>
      </c>
      <c r="L45" s="17">
        <v>2.6</v>
      </c>
      <c r="M45" s="19">
        <v>9063</v>
      </c>
      <c r="N45" s="20">
        <f t="shared" si="1"/>
        <v>4.05</v>
      </c>
    </row>
    <row r="46" customHeight="1" spans="1:14">
      <c r="A46" s="15" t="s">
        <v>78</v>
      </c>
      <c r="B46" s="16">
        <v>46077</v>
      </c>
      <c r="C46" s="17" t="s">
        <v>15</v>
      </c>
      <c r="D46" s="17" t="s">
        <v>20</v>
      </c>
      <c r="E46" s="17" t="s">
        <v>26</v>
      </c>
      <c r="F46" s="17" t="s">
        <v>18</v>
      </c>
      <c r="G46" s="17">
        <v>17</v>
      </c>
      <c r="H46" s="17">
        <v>20735</v>
      </c>
      <c r="I46" s="17">
        <v>352495</v>
      </c>
      <c r="J46" s="17">
        <v>199019</v>
      </c>
      <c r="K46" s="17">
        <v>153476</v>
      </c>
      <c r="L46" s="17">
        <v>3</v>
      </c>
      <c r="M46" s="19">
        <v>10437</v>
      </c>
      <c r="N46" s="20">
        <f t="shared" si="1"/>
        <v>5.31</v>
      </c>
    </row>
    <row r="47" customHeight="1" spans="1:14">
      <c r="A47" s="15" t="s">
        <v>79</v>
      </c>
      <c r="B47" s="16">
        <v>46175</v>
      </c>
      <c r="C47" s="17" t="s">
        <v>28</v>
      </c>
      <c r="D47" s="17" t="s">
        <v>48</v>
      </c>
      <c r="E47" s="17" t="s">
        <v>29</v>
      </c>
      <c r="F47" s="17" t="s">
        <v>18</v>
      </c>
      <c r="G47" s="17">
        <v>20</v>
      </c>
      <c r="H47" s="17">
        <v>12650</v>
      </c>
      <c r="I47" s="17">
        <v>253000</v>
      </c>
      <c r="J47" s="17">
        <v>154320</v>
      </c>
      <c r="K47" s="17">
        <v>98680</v>
      </c>
      <c r="L47" s="17">
        <v>3.6</v>
      </c>
      <c r="M47" s="19">
        <v>15634</v>
      </c>
      <c r="N47" s="20">
        <f t="shared" si="1"/>
        <v>5.9</v>
      </c>
    </row>
    <row r="48" customHeight="1" spans="1:14">
      <c r="A48" s="15" t="s">
        <v>80</v>
      </c>
      <c r="B48" s="16">
        <v>46043</v>
      </c>
      <c r="C48" s="17" t="s">
        <v>24</v>
      </c>
      <c r="D48" s="17" t="s">
        <v>48</v>
      </c>
      <c r="E48" s="17" t="s">
        <v>17</v>
      </c>
      <c r="F48" s="17" t="s">
        <v>18</v>
      </c>
      <c r="G48" s="17">
        <v>13</v>
      </c>
      <c r="H48" s="17">
        <v>51716</v>
      </c>
      <c r="I48" s="17">
        <v>672308</v>
      </c>
      <c r="J48" s="17">
        <v>448058</v>
      </c>
      <c r="K48" s="17">
        <v>224250</v>
      </c>
      <c r="L48" s="17">
        <v>5</v>
      </c>
      <c r="M48" s="19">
        <v>11437</v>
      </c>
      <c r="N48" s="20">
        <f t="shared" si="1"/>
        <v>7.5</v>
      </c>
    </row>
    <row r="49" customHeight="1" spans="1:14">
      <c r="A49" s="15" t="s">
        <v>81</v>
      </c>
      <c r="B49" s="16">
        <v>46105</v>
      </c>
      <c r="C49" s="17" t="s">
        <v>37</v>
      </c>
      <c r="D49" s="17" t="s">
        <v>25</v>
      </c>
      <c r="E49" s="17" t="s">
        <v>21</v>
      </c>
      <c r="F49" s="17" t="s">
        <v>22</v>
      </c>
      <c r="G49" s="17">
        <v>3</v>
      </c>
      <c r="H49" s="17">
        <v>11141</v>
      </c>
      <c r="I49" s="17">
        <v>33423</v>
      </c>
      <c r="J49" s="17">
        <v>21510</v>
      </c>
      <c r="K49" s="17">
        <v>11913</v>
      </c>
      <c r="L49" s="17">
        <v>2.9</v>
      </c>
      <c r="M49" s="19">
        <v>8179</v>
      </c>
      <c r="N49" s="20">
        <f t="shared" si="1"/>
        <v>4.51</v>
      </c>
    </row>
    <row r="50" customHeight="1" spans="1:14">
      <c r="A50" s="15" t="s">
        <v>82</v>
      </c>
      <c r="B50" s="16">
        <v>46170</v>
      </c>
      <c r="C50" s="17" t="s">
        <v>15</v>
      </c>
      <c r="D50" s="17" t="s">
        <v>20</v>
      </c>
      <c r="E50" s="17" t="s">
        <v>17</v>
      </c>
      <c r="F50" s="17" t="s">
        <v>18</v>
      </c>
      <c r="G50" s="17">
        <v>14</v>
      </c>
      <c r="H50" s="17">
        <v>49878</v>
      </c>
      <c r="I50" s="17">
        <v>698292</v>
      </c>
      <c r="J50" s="17">
        <v>484512</v>
      </c>
      <c r="K50" s="17">
        <v>213780</v>
      </c>
      <c r="L50" s="17">
        <v>4.5</v>
      </c>
      <c r="M50" s="19">
        <v>12302</v>
      </c>
      <c r="N50" s="20">
        <f t="shared" si="1"/>
        <v>6.49</v>
      </c>
    </row>
    <row r="51" customHeight="1" spans="1:14">
      <c r="A51" s="15" t="s">
        <v>83</v>
      </c>
      <c r="B51" s="16">
        <v>46170</v>
      </c>
      <c r="C51" s="17" t="s">
        <v>24</v>
      </c>
      <c r="D51" s="17" t="s">
        <v>48</v>
      </c>
      <c r="E51" s="17" t="s">
        <v>54</v>
      </c>
      <c r="F51" s="17" t="s">
        <v>22</v>
      </c>
      <c r="G51" s="17">
        <v>19</v>
      </c>
      <c r="H51" s="17">
        <v>4495</v>
      </c>
      <c r="I51" s="17">
        <v>85405</v>
      </c>
      <c r="J51" s="17">
        <v>48412</v>
      </c>
      <c r="K51" s="17">
        <v>36993</v>
      </c>
      <c r="L51" s="17">
        <v>3.6</v>
      </c>
      <c r="M51" s="19">
        <v>7782</v>
      </c>
      <c r="N51" s="20">
        <f t="shared" si="1"/>
        <v>6.35</v>
      </c>
    </row>
    <row r="52" customHeight="1" spans="1:14">
      <c r="A52" s="15" t="s">
        <v>84</v>
      </c>
      <c r="B52" s="16">
        <v>46077</v>
      </c>
      <c r="C52" s="17" t="s">
        <v>28</v>
      </c>
      <c r="D52" s="17" t="s">
        <v>48</v>
      </c>
      <c r="E52" s="17" t="s">
        <v>21</v>
      </c>
      <c r="F52" s="17" t="s">
        <v>22</v>
      </c>
      <c r="G52" s="17">
        <v>19</v>
      </c>
      <c r="H52" s="17">
        <v>8992</v>
      </c>
      <c r="I52" s="17">
        <v>170848</v>
      </c>
      <c r="J52" s="17">
        <v>132373</v>
      </c>
      <c r="K52" s="17">
        <v>38475</v>
      </c>
      <c r="L52" s="17">
        <v>4.2</v>
      </c>
      <c r="M52" s="19">
        <v>16754</v>
      </c>
      <c r="N52" s="20">
        <f t="shared" si="1"/>
        <v>5.42</v>
      </c>
    </row>
    <row r="53" customHeight="1" spans="1:14">
      <c r="A53" s="15" t="s">
        <v>85</v>
      </c>
      <c r="B53" s="16">
        <v>46124</v>
      </c>
      <c r="C53" s="17" t="s">
        <v>28</v>
      </c>
      <c r="D53" s="17" t="s">
        <v>40</v>
      </c>
      <c r="E53" s="17" t="s">
        <v>54</v>
      </c>
      <c r="F53" s="17" t="s">
        <v>22</v>
      </c>
      <c r="G53" s="17">
        <v>8</v>
      </c>
      <c r="H53" s="17">
        <v>3541</v>
      </c>
      <c r="I53" s="17">
        <v>28328</v>
      </c>
      <c r="J53" s="17">
        <v>18656</v>
      </c>
      <c r="K53" s="17">
        <v>9672</v>
      </c>
      <c r="L53" s="17">
        <v>4.4</v>
      </c>
      <c r="M53" s="19">
        <v>6235</v>
      </c>
      <c r="N53" s="20">
        <f t="shared" si="1"/>
        <v>6.68</v>
      </c>
    </row>
    <row r="54" customHeight="1" spans="1:14">
      <c r="A54" s="15" t="s">
        <v>86</v>
      </c>
      <c r="B54" s="16">
        <v>46050</v>
      </c>
      <c r="C54" s="17" t="s">
        <v>24</v>
      </c>
      <c r="D54" s="17" t="s">
        <v>16</v>
      </c>
      <c r="E54" s="17" t="s">
        <v>32</v>
      </c>
      <c r="F54" s="17" t="s">
        <v>18</v>
      </c>
      <c r="G54" s="17">
        <v>2</v>
      </c>
      <c r="H54" s="17">
        <v>26601</v>
      </c>
      <c r="I54" s="17">
        <v>53202</v>
      </c>
      <c r="J54" s="17">
        <v>34266</v>
      </c>
      <c r="K54" s="17">
        <v>18936</v>
      </c>
      <c r="L54" s="17">
        <v>4.7</v>
      </c>
      <c r="M54" s="19">
        <v>16238</v>
      </c>
      <c r="N54" s="20">
        <f t="shared" si="1"/>
        <v>7.3</v>
      </c>
    </row>
    <row r="55" customHeight="1" spans="1:14">
      <c r="A55" s="15" t="s">
        <v>87</v>
      </c>
      <c r="B55" s="16">
        <v>46048</v>
      </c>
      <c r="C55" s="17" t="s">
        <v>24</v>
      </c>
      <c r="D55" s="17" t="s">
        <v>20</v>
      </c>
      <c r="E55" s="17" t="s">
        <v>32</v>
      </c>
      <c r="F55" s="17" t="s">
        <v>18</v>
      </c>
      <c r="G55" s="17">
        <v>11</v>
      </c>
      <c r="H55" s="17">
        <v>25480</v>
      </c>
      <c r="I55" s="17">
        <v>280280</v>
      </c>
      <c r="J55" s="17">
        <v>195371</v>
      </c>
      <c r="K55" s="17">
        <v>84909</v>
      </c>
      <c r="L55" s="17">
        <v>4.4</v>
      </c>
      <c r="M55" s="19">
        <v>12206</v>
      </c>
      <c r="N55" s="20">
        <f t="shared" si="1"/>
        <v>6.31</v>
      </c>
    </row>
    <row r="56" customHeight="1" spans="1:14">
      <c r="A56" s="15" t="s">
        <v>88</v>
      </c>
      <c r="B56" s="16">
        <v>46143</v>
      </c>
      <c r="C56" s="17" t="s">
        <v>24</v>
      </c>
      <c r="D56" s="17" t="s">
        <v>40</v>
      </c>
      <c r="E56" s="17" t="s">
        <v>26</v>
      </c>
      <c r="F56" s="17" t="s">
        <v>18</v>
      </c>
      <c r="G56" s="17">
        <v>4</v>
      </c>
      <c r="H56" s="17">
        <v>16133</v>
      </c>
      <c r="I56" s="17">
        <v>64532</v>
      </c>
      <c r="J56" s="17">
        <v>45796</v>
      </c>
      <c r="K56" s="17">
        <v>18736</v>
      </c>
      <c r="L56" s="17">
        <v>3.5</v>
      </c>
      <c r="M56" s="19">
        <v>11748</v>
      </c>
      <c r="N56" s="20">
        <f t="shared" si="1"/>
        <v>4.93</v>
      </c>
    </row>
    <row r="57" customHeight="1" spans="1:14">
      <c r="A57" s="15" t="s">
        <v>89</v>
      </c>
      <c r="B57" s="16">
        <v>46106</v>
      </c>
      <c r="C57" s="17" t="s">
        <v>15</v>
      </c>
      <c r="D57" s="17" t="s">
        <v>42</v>
      </c>
      <c r="E57" s="17" t="s">
        <v>32</v>
      </c>
      <c r="F57" s="17" t="s">
        <v>18</v>
      </c>
      <c r="G57" s="17">
        <v>17</v>
      </c>
      <c r="H57" s="17">
        <v>26699</v>
      </c>
      <c r="I57" s="17">
        <v>453883</v>
      </c>
      <c r="J57" s="17">
        <v>291788</v>
      </c>
      <c r="K57" s="17">
        <v>162095</v>
      </c>
      <c r="L57" s="17">
        <v>3.6</v>
      </c>
      <c r="M57" s="19">
        <v>14605</v>
      </c>
      <c r="N57" s="20">
        <f t="shared" si="1"/>
        <v>5.6</v>
      </c>
    </row>
    <row r="58" customHeight="1" spans="1:14">
      <c r="A58" s="15" t="s">
        <v>90</v>
      </c>
      <c r="B58" s="16">
        <v>46125</v>
      </c>
      <c r="C58" s="17" t="s">
        <v>28</v>
      </c>
      <c r="D58" s="17" t="s">
        <v>25</v>
      </c>
      <c r="E58" s="17" t="s">
        <v>21</v>
      </c>
      <c r="F58" s="17" t="s">
        <v>22</v>
      </c>
      <c r="G58" s="17">
        <v>19</v>
      </c>
      <c r="H58" s="17">
        <v>10262</v>
      </c>
      <c r="I58" s="17">
        <v>194978</v>
      </c>
      <c r="J58" s="17">
        <v>105602</v>
      </c>
      <c r="K58" s="17">
        <v>89376</v>
      </c>
      <c r="L58" s="17">
        <v>2.5</v>
      </c>
      <c r="M58" s="19">
        <v>10376</v>
      </c>
      <c r="N58" s="20">
        <f t="shared" si="1"/>
        <v>4.62</v>
      </c>
    </row>
    <row r="59" customHeight="1" spans="1:14">
      <c r="A59" s="15" t="s">
        <v>91</v>
      </c>
      <c r="B59" s="16">
        <v>46132</v>
      </c>
      <c r="C59" s="17" t="s">
        <v>15</v>
      </c>
      <c r="D59" s="17" t="s">
        <v>35</v>
      </c>
      <c r="E59" s="17" t="s">
        <v>26</v>
      </c>
      <c r="F59" s="17" t="s">
        <v>18</v>
      </c>
      <c r="G59" s="17">
        <v>20</v>
      </c>
      <c r="H59" s="17">
        <v>18143</v>
      </c>
      <c r="I59" s="17">
        <v>362860</v>
      </c>
      <c r="J59" s="17">
        <v>255540</v>
      </c>
      <c r="K59" s="17">
        <v>107320</v>
      </c>
      <c r="L59" s="17">
        <v>2.8</v>
      </c>
      <c r="M59" s="19">
        <v>16510</v>
      </c>
      <c r="N59" s="20">
        <f t="shared" si="1"/>
        <v>3.98</v>
      </c>
    </row>
    <row r="60" customHeight="1" spans="1:14">
      <c r="A60" s="15" t="s">
        <v>92</v>
      </c>
      <c r="B60" s="16">
        <v>46124</v>
      </c>
      <c r="C60" s="17" t="s">
        <v>15</v>
      </c>
      <c r="D60" s="17" t="s">
        <v>42</v>
      </c>
      <c r="E60" s="17" t="s">
        <v>32</v>
      </c>
      <c r="F60" s="17" t="s">
        <v>18</v>
      </c>
      <c r="G60" s="17">
        <v>9</v>
      </c>
      <c r="H60" s="17">
        <v>24080</v>
      </c>
      <c r="I60" s="17">
        <v>216720</v>
      </c>
      <c r="J60" s="17">
        <v>166320</v>
      </c>
      <c r="K60" s="17">
        <v>50400</v>
      </c>
      <c r="L60" s="17">
        <v>2.9</v>
      </c>
      <c r="M60" s="19">
        <v>9489</v>
      </c>
      <c r="N60" s="20">
        <f t="shared" si="1"/>
        <v>3.78</v>
      </c>
    </row>
    <row r="61" customHeight="1" spans="1:14">
      <c r="A61" s="15" t="s">
        <v>93</v>
      </c>
      <c r="B61" s="16">
        <v>46073</v>
      </c>
      <c r="C61" s="17" t="s">
        <v>37</v>
      </c>
      <c r="D61" s="17" t="s">
        <v>16</v>
      </c>
      <c r="E61" s="17" t="s">
        <v>54</v>
      </c>
      <c r="F61" s="17" t="s">
        <v>22</v>
      </c>
      <c r="G61" s="17">
        <v>6</v>
      </c>
      <c r="H61" s="17">
        <v>3675</v>
      </c>
      <c r="I61" s="17">
        <v>22050</v>
      </c>
      <c r="J61" s="17">
        <v>16632</v>
      </c>
      <c r="K61" s="17">
        <v>5418</v>
      </c>
      <c r="L61" s="17">
        <v>2.5</v>
      </c>
      <c r="M61" s="19">
        <v>18831</v>
      </c>
      <c r="N61" s="20">
        <f t="shared" si="1"/>
        <v>3.31</v>
      </c>
    </row>
    <row r="62" customHeight="1" spans="1:14">
      <c r="A62" s="15" t="s">
        <v>94</v>
      </c>
      <c r="B62" s="16">
        <v>46073</v>
      </c>
      <c r="C62" s="17" t="s">
        <v>24</v>
      </c>
      <c r="D62" s="17" t="s">
        <v>35</v>
      </c>
      <c r="E62" s="17" t="s">
        <v>29</v>
      </c>
      <c r="F62" s="17" t="s">
        <v>18</v>
      </c>
      <c r="G62" s="17">
        <v>12</v>
      </c>
      <c r="H62" s="17">
        <v>14108</v>
      </c>
      <c r="I62" s="17">
        <v>169296</v>
      </c>
      <c r="J62" s="17">
        <v>94536</v>
      </c>
      <c r="K62" s="17">
        <v>74760</v>
      </c>
      <c r="L62" s="17">
        <v>4.4</v>
      </c>
      <c r="M62" s="19">
        <v>15721</v>
      </c>
      <c r="N62" s="20">
        <f t="shared" si="1"/>
        <v>7.88</v>
      </c>
    </row>
    <row r="63" customHeight="1" spans="1:14">
      <c r="A63" s="15" t="s">
        <v>95</v>
      </c>
      <c r="B63" s="16">
        <v>46188</v>
      </c>
      <c r="C63" s="17" t="s">
        <v>37</v>
      </c>
      <c r="D63" s="17" t="s">
        <v>35</v>
      </c>
      <c r="E63" s="17" t="s">
        <v>26</v>
      </c>
      <c r="F63" s="17" t="s">
        <v>18</v>
      </c>
      <c r="G63" s="17">
        <v>12</v>
      </c>
      <c r="H63" s="17">
        <v>19023</v>
      </c>
      <c r="I63" s="17">
        <v>228276</v>
      </c>
      <c r="J63" s="17">
        <v>142800</v>
      </c>
      <c r="K63" s="17">
        <v>85476</v>
      </c>
      <c r="L63" s="17">
        <v>4.7</v>
      </c>
      <c r="M63" s="19">
        <v>19331</v>
      </c>
      <c r="N63" s="20">
        <f t="shared" si="1"/>
        <v>7.51</v>
      </c>
    </row>
    <row r="64" customHeight="1" spans="1:14">
      <c r="A64" s="15" t="s">
        <v>96</v>
      </c>
      <c r="B64" s="16">
        <v>46090</v>
      </c>
      <c r="C64" s="17" t="s">
        <v>15</v>
      </c>
      <c r="D64" s="17" t="s">
        <v>16</v>
      </c>
      <c r="E64" s="17" t="s">
        <v>32</v>
      </c>
      <c r="F64" s="17" t="s">
        <v>18</v>
      </c>
      <c r="G64" s="17">
        <v>6</v>
      </c>
      <c r="H64" s="17">
        <v>27234</v>
      </c>
      <c r="I64" s="17">
        <v>163404</v>
      </c>
      <c r="J64" s="17">
        <v>110922</v>
      </c>
      <c r="K64" s="17">
        <v>52482</v>
      </c>
      <c r="L64" s="17">
        <v>4.6</v>
      </c>
      <c r="M64" s="19">
        <v>11379</v>
      </c>
      <c r="N64" s="20">
        <f t="shared" si="1"/>
        <v>6.78</v>
      </c>
    </row>
    <row r="65" customHeight="1" spans="1:14">
      <c r="A65" s="15" t="s">
        <v>97</v>
      </c>
      <c r="B65" s="16">
        <v>46187</v>
      </c>
      <c r="C65" s="17" t="s">
        <v>24</v>
      </c>
      <c r="D65" s="17" t="s">
        <v>48</v>
      </c>
      <c r="E65" s="17" t="s">
        <v>29</v>
      </c>
      <c r="F65" s="17" t="s">
        <v>18</v>
      </c>
      <c r="G65" s="17">
        <v>20</v>
      </c>
      <c r="H65" s="17">
        <v>12607</v>
      </c>
      <c r="I65" s="17">
        <v>252140</v>
      </c>
      <c r="J65" s="17">
        <v>157240</v>
      </c>
      <c r="K65" s="17">
        <v>94900</v>
      </c>
      <c r="L65" s="17">
        <v>4.9</v>
      </c>
      <c r="M65" s="19">
        <v>18441</v>
      </c>
      <c r="N65" s="20">
        <f t="shared" si="1"/>
        <v>7.86</v>
      </c>
    </row>
    <row r="66" customHeight="1" spans="1:14">
      <c r="A66" s="15" t="s">
        <v>98</v>
      </c>
      <c r="B66" s="16">
        <v>46192</v>
      </c>
      <c r="C66" s="17" t="s">
        <v>15</v>
      </c>
      <c r="D66" s="17" t="s">
        <v>48</v>
      </c>
      <c r="E66" s="17" t="s">
        <v>54</v>
      </c>
      <c r="F66" s="17" t="s">
        <v>22</v>
      </c>
      <c r="G66" s="17">
        <v>15</v>
      </c>
      <c r="H66" s="17">
        <v>3444</v>
      </c>
      <c r="I66" s="17">
        <v>51660</v>
      </c>
      <c r="J66" s="17">
        <v>41790</v>
      </c>
      <c r="K66" s="17">
        <v>9870</v>
      </c>
      <c r="L66" s="17">
        <v>4.9</v>
      </c>
      <c r="M66" s="19">
        <v>8013</v>
      </c>
      <c r="N66" s="20">
        <f t="shared" si="1"/>
        <v>6.06</v>
      </c>
    </row>
    <row r="67" customHeight="1" spans="1:14">
      <c r="A67" s="15" t="s">
        <v>99</v>
      </c>
      <c r="B67" s="16">
        <v>46172</v>
      </c>
      <c r="C67" s="17" t="s">
        <v>15</v>
      </c>
      <c r="D67" s="17" t="s">
        <v>52</v>
      </c>
      <c r="E67" s="17" t="s">
        <v>17</v>
      </c>
      <c r="F67" s="17" t="s">
        <v>18</v>
      </c>
      <c r="G67" s="17">
        <v>5</v>
      </c>
      <c r="H67" s="17">
        <v>48299</v>
      </c>
      <c r="I67" s="17">
        <v>241495</v>
      </c>
      <c r="J67" s="17">
        <v>177990</v>
      </c>
      <c r="K67" s="17">
        <v>63505</v>
      </c>
      <c r="L67" s="17">
        <v>3.7</v>
      </c>
      <c r="M67" s="19">
        <v>6976</v>
      </c>
      <c r="N67" s="20">
        <f t="shared" ref="N67:N98" si="2">ROUND(I67/J67*L67,2)</f>
        <v>5.02</v>
      </c>
    </row>
    <row r="68" customHeight="1" spans="1:14">
      <c r="A68" s="15" t="s">
        <v>100</v>
      </c>
      <c r="B68" s="16">
        <v>46199</v>
      </c>
      <c r="C68" s="17" t="s">
        <v>15</v>
      </c>
      <c r="D68" s="17" t="s">
        <v>35</v>
      </c>
      <c r="E68" s="17" t="s">
        <v>17</v>
      </c>
      <c r="F68" s="17" t="s">
        <v>18</v>
      </c>
      <c r="G68" s="17">
        <v>8</v>
      </c>
      <c r="H68" s="17">
        <v>50721</v>
      </c>
      <c r="I68" s="17">
        <v>405768</v>
      </c>
      <c r="J68" s="17">
        <v>276056</v>
      </c>
      <c r="K68" s="17">
        <v>129712</v>
      </c>
      <c r="L68" s="17">
        <v>2.6</v>
      </c>
      <c r="M68" s="19">
        <v>9454</v>
      </c>
      <c r="N68" s="20">
        <f t="shared" si="2"/>
        <v>3.82</v>
      </c>
    </row>
    <row r="69" customHeight="1" spans="1:14">
      <c r="A69" s="15" t="s">
        <v>101</v>
      </c>
      <c r="B69" s="16">
        <v>46033</v>
      </c>
      <c r="C69" s="17" t="s">
        <v>15</v>
      </c>
      <c r="D69" s="17" t="s">
        <v>52</v>
      </c>
      <c r="E69" s="17" t="s">
        <v>17</v>
      </c>
      <c r="F69" s="17" t="s">
        <v>18</v>
      </c>
      <c r="G69" s="17">
        <v>8</v>
      </c>
      <c r="H69" s="17">
        <v>49164</v>
      </c>
      <c r="I69" s="17">
        <v>393312</v>
      </c>
      <c r="J69" s="17">
        <v>282416</v>
      </c>
      <c r="K69" s="17">
        <v>110896</v>
      </c>
      <c r="L69" s="17">
        <v>4.8</v>
      </c>
      <c r="M69" s="19">
        <v>19364</v>
      </c>
      <c r="N69" s="20">
        <f t="shared" si="2"/>
        <v>6.68</v>
      </c>
    </row>
    <row r="70" customHeight="1" spans="1:14">
      <c r="A70" s="15" t="s">
        <v>102</v>
      </c>
      <c r="B70" s="16">
        <v>46158</v>
      </c>
      <c r="C70" s="17" t="s">
        <v>15</v>
      </c>
      <c r="D70" s="17" t="s">
        <v>42</v>
      </c>
      <c r="E70" s="17" t="s">
        <v>29</v>
      </c>
      <c r="F70" s="17" t="s">
        <v>18</v>
      </c>
      <c r="G70" s="17">
        <v>4</v>
      </c>
      <c r="H70" s="17">
        <v>12009</v>
      </c>
      <c r="I70" s="17">
        <v>48036</v>
      </c>
      <c r="J70" s="17">
        <v>31692</v>
      </c>
      <c r="K70" s="17">
        <v>16344</v>
      </c>
      <c r="L70" s="17">
        <v>3.3</v>
      </c>
      <c r="M70" s="19">
        <v>8456</v>
      </c>
      <c r="N70" s="20">
        <f t="shared" si="2"/>
        <v>5</v>
      </c>
    </row>
    <row r="71" customHeight="1" spans="1:14">
      <c r="A71" s="15" t="s">
        <v>103</v>
      </c>
      <c r="B71" s="16">
        <v>46077</v>
      </c>
      <c r="C71" s="17" t="s">
        <v>37</v>
      </c>
      <c r="D71" s="17" t="s">
        <v>35</v>
      </c>
      <c r="E71" s="17" t="s">
        <v>54</v>
      </c>
      <c r="F71" s="17" t="s">
        <v>22</v>
      </c>
      <c r="G71" s="17">
        <v>13</v>
      </c>
      <c r="H71" s="17">
        <v>3417</v>
      </c>
      <c r="I71" s="17">
        <v>44421</v>
      </c>
      <c r="J71" s="17">
        <v>47398</v>
      </c>
      <c r="K71" s="17">
        <v>-2977</v>
      </c>
      <c r="L71" s="17">
        <v>4.5</v>
      </c>
      <c r="M71" s="19">
        <v>13542</v>
      </c>
      <c r="N71" s="20">
        <f t="shared" si="2"/>
        <v>4.22</v>
      </c>
    </row>
    <row r="72" customHeight="1" spans="1:14">
      <c r="A72" s="15" t="s">
        <v>104</v>
      </c>
      <c r="B72" s="16">
        <v>46176</v>
      </c>
      <c r="C72" s="17" t="s">
        <v>28</v>
      </c>
      <c r="D72" s="17" t="s">
        <v>35</v>
      </c>
      <c r="E72" s="17" t="s">
        <v>17</v>
      </c>
      <c r="F72" s="17" t="s">
        <v>18</v>
      </c>
      <c r="G72" s="17">
        <v>11</v>
      </c>
      <c r="H72" s="17">
        <v>49021</v>
      </c>
      <c r="I72" s="17">
        <v>539231</v>
      </c>
      <c r="J72" s="17">
        <v>387310</v>
      </c>
      <c r="K72" s="17">
        <v>151921</v>
      </c>
      <c r="L72" s="17">
        <v>3.5</v>
      </c>
      <c r="M72" s="19">
        <v>7516</v>
      </c>
      <c r="N72" s="20">
        <f t="shared" si="2"/>
        <v>4.87</v>
      </c>
    </row>
    <row r="73" customHeight="1" spans="1:14">
      <c r="A73" s="15" t="s">
        <v>105</v>
      </c>
      <c r="B73" s="16">
        <v>46084</v>
      </c>
      <c r="C73" s="17" t="s">
        <v>37</v>
      </c>
      <c r="D73" s="17" t="s">
        <v>40</v>
      </c>
      <c r="E73" s="17" t="s">
        <v>21</v>
      </c>
      <c r="F73" s="17" t="s">
        <v>22</v>
      </c>
      <c r="G73" s="17">
        <v>5</v>
      </c>
      <c r="H73" s="17">
        <v>8733</v>
      </c>
      <c r="I73" s="17">
        <v>43665</v>
      </c>
      <c r="J73" s="17">
        <v>35825</v>
      </c>
      <c r="K73" s="17">
        <v>7840</v>
      </c>
      <c r="L73" s="17">
        <v>2.7</v>
      </c>
      <c r="M73" s="19">
        <v>17822</v>
      </c>
      <c r="N73" s="20">
        <f t="shared" si="2"/>
        <v>3.29</v>
      </c>
    </row>
    <row r="74" customHeight="1" spans="1:14">
      <c r="A74" s="15" t="s">
        <v>106</v>
      </c>
      <c r="B74" s="16">
        <v>46094</v>
      </c>
      <c r="C74" s="17" t="s">
        <v>37</v>
      </c>
      <c r="D74" s="17" t="s">
        <v>20</v>
      </c>
      <c r="E74" s="17" t="s">
        <v>54</v>
      </c>
      <c r="F74" s="17" t="s">
        <v>22</v>
      </c>
      <c r="G74" s="17">
        <v>6</v>
      </c>
      <c r="H74" s="17">
        <v>6682</v>
      </c>
      <c r="I74" s="17">
        <v>40092</v>
      </c>
      <c r="J74" s="17">
        <v>15324</v>
      </c>
      <c r="K74" s="17">
        <v>24768</v>
      </c>
      <c r="L74" s="17">
        <v>3.3</v>
      </c>
      <c r="M74" s="19">
        <v>11174</v>
      </c>
      <c r="N74" s="20">
        <f t="shared" si="2"/>
        <v>8.63</v>
      </c>
    </row>
    <row r="75" customHeight="1" spans="1:14">
      <c r="A75" s="15" t="s">
        <v>107</v>
      </c>
      <c r="B75" s="16">
        <v>46154</v>
      </c>
      <c r="C75" s="17" t="s">
        <v>24</v>
      </c>
      <c r="D75" s="17" t="s">
        <v>35</v>
      </c>
      <c r="E75" s="17" t="s">
        <v>17</v>
      </c>
      <c r="F75" s="17" t="s">
        <v>18</v>
      </c>
      <c r="G75" s="17">
        <v>19</v>
      </c>
      <c r="H75" s="17">
        <v>48233</v>
      </c>
      <c r="I75" s="17">
        <v>916427</v>
      </c>
      <c r="J75" s="17">
        <v>649838</v>
      </c>
      <c r="K75" s="17">
        <v>266589</v>
      </c>
      <c r="L75" s="17">
        <v>4</v>
      </c>
      <c r="M75" s="19">
        <v>8759</v>
      </c>
      <c r="N75" s="20">
        <f t="shared" si="2"/>
        <v>5.64</v>
      </c>
    </row>
    <row r="76" customHeight="1" spans="1:14">
      <c r="A76" s="15" t="s">
        <v>108</v>
      </c>
      <c r="B76" s="16">
        <v>46124</v>
      </c>
      <c r="C76" s="17" t="s">
        <v>28</v>
      </c>
      <c r="D76" s="17" t="s">
        <v>16</v>
      </c>
      <c r="E76" s="17" t="s">
        <v>29</v>
      </c>
      <c r="F76" s="17" t="s">
        <v>18</v>
      </c>
      <c r="G76" s="17">
        <v>17</v>
      </c>
      <c r="H76" s="17">
        <v>13586</v>
      </c>
      <c r="I76" s="17">
        <v>230962</v>
      </c>
      <c r="J76" s="17">
        <v>125290</v>
      </c>
      <c r="K76" s="17">
        <v>105672</v>
      </c>
      <c r="L76" s="17">
        <v>3.4</v>
      </c>
      <c r="M76" s="19">
        <v>7004</v>
      </c>
      <c r="N76" s="20">
        <f t="shared" si="2"/>
        <v>6.27</v>
      </c>
    </row>
    <row r="77" customHeight="1" spans="1:14">
      <c r="A77" s="15" t="s">
        <v>109</v>
      </c>
      <c r="B77" s="16">
        <v>46150</v>
      </c>
      <c r="C77" s="17" t="s">
        <v>24</v>
      </c>
      <c r="D77" s="17" t="s">
        <v>40</v>
      </c>
      <c r="E77" s="17" t="s">
        <v>32</v>
      </c>
      <c r="F77" s="17" t="s">
        <v>18</v>
      </c>
      <c r="G77" s="17">
        <v>10</v>
      </c>
      <c r="H77" s="17">
        <v>25635</v>
      </c>
      <c r="I77" s="17">
        <v>256350</v>
      </c>
      <c r="J77" s="17">
        <v>173150</v>
      </c>
      <c r="K77" s="17">
        <v>83200</v>
      </c>
      <c r="L77" s="17">
        <v>2.6</v>
      </c>
      <c r="M77" s="19">
        <v>5449</v>
      </c>
      <c r="N77" s="20">
        <f t="shared" si="2"/>
        <v>3.85</v>
      </c>
    </row>
    <row r="78" customHeight="1" spans="1:14">
      <c r="A78" s="15" t="s">
        <v>110</v>
      </c>
      <c r="B78" s="16">
        <v>46131</v>
      </c>
      <c r="C78" s="17" t="s">
        <v>24</v>
      </c>
      <c r="D78" s="17" t="s">
        <v>48</v>
      </c>
      <c r="E78" s="17" t="s">
        <v>17</v>
      </c>
      <c r="F78" s="17" t="s">
        <v>18</v>
      </c>
      <c r="G78" s="17">
        <v>7</v>
      </c>
      <c r="H78" s="17">
        <v>52539</v>
      </c>
      <c r="I78" s="17">
        <v>367773</v>
      </c>
      <c r="J78" s="17">
        <v>239456</v>
      </c>
      <c r="K78" s="17">
        <v>128317</v>
      </c>
      <c r="L78" s="17">
        <v>3.1</v>
      </c>
      <c r="M78" s="19">
        <v>18751</v>
      </c>
      <c r="N78" s="20">
        <f t="shared" si="2"/>
        <v>4.76</v>
      </c>
    </row>
    <row r="79" customHeight="1" spans="1:14">
      <c r="A79" s="15" t="s">
        <v>111</v>
      </c>
      <c r="B79" s="16">
        <v>46110</v>
      </c>
      <c r="C79" s="17" t="s">
        <v>28</v>
      </c>
      <c r="D79" s="17" t="s">
        <v>40</v>
      </c>
      <c r="E79" s="17" t="s">
        <v>17</v>
      </c>
      <c r="F79" s="17" t="s">
        <v>18</v>
      </c>
      <c r="G79" s="17">
        <v>3</v>
      </c>
      <c r="H79" s="17">
        <v>52261</v>
      </c>
      <c r="I79" s="17">
        <v>156783</v>
      </c>
      <c r="J79" s="17">
        <v>102606</v>
      </c>
      <c r="K79" s="17">
        <v>54177</v>
      </c>
      <c r="L79" s="17">
        <v>4.4</v>
      </c>
      <c r="M79" s="19">
        <v>7964</v>
      </c>
      <c r="N79" s="20">
        <f t="shared" si="2"/>
        <v>6.72</v>
      </c>
    </row>
    <row r="80" customHeight="1" spans="1:14">
      <c r="A80" s="15" t="s">
        <v>112</v>
      </c>
      <c r="B80" s="16">
        <v>46183</v>
      </c>
      <c r="C80" s="17" t="s">
        <v>37</v>
      </c>
      <c r="D80" s="17" t="s">
        <v>16</v>
      </c>
      <c r="E80" s="17" t="s">
        <v>29</v>
      </c>
      <c r="F80" s="17" t="s">
        <v>18</v>
      </c>
      <c r="G80" s="17">
        <v>15</v>
      </c>
      <c r="H80" s="17">
        <v>12236</v>
      </c>
      <c r="I80" s="17">
        <v>183540</v>
      </c>
      <c r="J80" s="17">
        <v>107940</v>
      </c>
      <c r="K80" s="17">
        <v>75600</v>
      </c>
      <c r="L80" s="17">
        <v>3.8</v>
      </c>
      <c r="M80" s="19">
        <v>5278</v>
      </c>
      <c r="N80" s="20">
        <f t="shared" si="2"/>
        <v>6.46</v>
      </c>
    </row>
    <row r="81" customHeight="1" spans="1:14">
      <c r="A81" s="15" t="s">
        <v>113</v>
      </c>
      <c r="B81" s="16">
        <v>46036</v>
      </c>
      <c r="C81" s="17" t="s">
        <v>28</v>
      </c>
      <c r="D81" s="17" t="s">
        <v>40</v>
      </c>
      <c r="E81" s="17" t="s">
        <v>29</v>
      </c>
      <c r="F81" s="17" t="s">
        <v>18</v>
      </c>
      <c r="G81" s="17">
        <v>19</v>
      </c>
      <c r="H81" s="17">
        <v>14040</v>
      </c>
      <c r="I81" s="17">
        <v>266760</v>
      </c>
      <c r="J81" s="17">
        <v>149587</v>
      </c>
      <c r="K81" s="17">
        <v>117173</v>
      </c>
      <c r="L81" s="17">
        <v>5</v>
      </c>
      <c r="M81" s="19">
        <v>13691</v>
      </c>
      <c r="N81" s="20">
        <f t="shared" si="2"/>
        <v>8.92</v>
      </c>
    </row>
    <row r="82" customHeight="1" spans="1:14">
      <c r="A82" s="15" t="s">
        <v>114</v>
      </c>
      <c r="B82" s="16">
        <v>46080</v>
      </c>
      <c r="C82" s="17" t="s">
        <v>15</v>
      </c>
      <c r="D82" s="17" t="s">
        <v>52</v>
      </c>
      <c r="E82" s="17" t="s">
        <v>26</v>
      </c>
      <c r="F82" s="17" t="s">
        <v>18</v>
      </c>
      <c r="G82" s="17">
        <v>17</v>
      </c>
      <c r="H82" s="17">
        <v>16259</v>
      </c>
      <c r="I82" s="17">
        <v>276403</v>
      </c>
      <c r="J82" s="17">
        <v>215271</v>
      </c>
      <c r="K82" s="17">
        <v>61132</v>
      </c>
      <c r="L82" s="17">
        <v>4.3</v>
      </c>
      <c r="M82" s="19">
        <v>15463</v>
      </c>
      <c r="N82" s="20">
        <f t="shared" si="2"/>
        <v>5.52</v>
      </c>
    </row>
    <row r="83" customHeight="1" spans="1:14">
      <c r="A83" s="15" t="s">
        <v>115</v>
      </c>
      <c r="B83" s="16">
        <v>46023</v>
      </c>
      <c r="C83" s="17" t="s">
        <v>24</v>
      </c>
      <c r="D83" s="17" t="s">
        <v>25</v>
      </c>
      <c r="E83" s="17" t="s">
        <v>21</v>
      </c>
      <c r="F83" s="17" t="s">
        <v>22</v>
      </c>
      <c r="G83" s="17">
        <v>12</v>
      </c>
      <c r="H83" s="17">
        <v>12005</v>
      </c>
      <c r="I83" s="17">
        <v>144060</v>
      </c>
      <c r="J83" s="17">
        <v>72168</v>
      </c>
      <c r="K83" s="17">
        <v>71892</v>
      </c>
      <c r="L83" s="17">
        <v>4</v>
      </c>
      <c r="M83" s="19">
        <v>14107</v>
      </c>
      <c r="N83" s="20">
        <f t="shared" si="2"/>
        <v>7.98</v>
      </c>
    </row>
    <row r="84" customHeight="1" spans="1:14">
      <c r="A84" s="15" t="s">
        <v>116</v>
      </c>
      <c r="B84" s="16">
        <v>46156</v>
      </c>
      <c r="C84" s="17" t="s">
        <v>24</v>
      </c>
      <c r="D84" s="17" t="s">
        <v>35</v>
      </c>
      <c r="E84" s="17" t="s">
        <v>54</v>
      </c>
      <c r="F84" s="17" t="s">
        <v>22</v>
      </c>
      <c r="G84" s="17">
        <v>6</v>
      </c>
      <c r="H84" s="17">
        <v>3710</v>
      </c>
      <c r="I84" s="17">
        <v>22260</v>
      </c>
      <c r="J84" s="17">
        <v>20460</v>
      </c>
      <c r="K84" s="17">
        <v>1800</v>
      </c>
      <c r="L84" s="17">
        <v>4.7</v>
      </c>
      <c r="M84" s="19">
        <v>10768</v>
      </c>
      <c r="N84" s="20">
        <f t="shared" si="2"/>
        <v>5.11</v>
      </c>
    </row>
    <row r="85" customHeight="1" spans="1:14">
      <c r="A85" s="15" t="s">
        <v>117</v>
      </c>
      <c r="B85" s="16">
        <v>46161</v>
      </c>
      <c r="C85" s="17" t="s">
        <v>37</v>
      </c>
      <c r="D85" s="17" t="s">
        <v>42</v>
      </c>
      <c r="E85" s="17" t="s">
        <v>54</v>
      </c>
      <c r="F85" s="17" t="s">
        <v>22</v>
      </c>
      <c r="G85" s="17">
        <v>8</v>
      </c>
      <c r="H85" s="17">
        <v>5034</v>
      </c>
      <c r="I85" s="17">
        <v>40272</v>
      </c>
      <c r="J85" s="17">
        <v>17224</v>
      </c>
      <c r="K85" s="17">
        <v>23048</v>
      </c>
      <c r="L85" s="17">
        <v>3.1</v>
      </c>
      <c r="M85" s="19">
        <v>10586</v>
      </c>
      <c r="N85" s="20">
        <f t="shared" si="2"/>
        <v>7.25</v>
      </c>
    </row>
    <row r="86" customHeight="1" spans="1:14">
      <c r="A86" s="15" t="s">
        <v>118</v>
      </c>
      <c r="B86" s="16">
        <v>46190</v>
      </c>
      <c r="C86" s="17" t="s">
        <v>24</v>
      </c>
      <c r="D86" s="17" t="s">
        <v>20</v>
      </c>
      <c r="E86" s="17" t="s">
        <v>17</v>
      </c>
      <c r="F86" s="17" t="s">
        <v>18</v>
      </c>
      <c r="G86" s="17">
        <v>8</v>
      </c>
      <c r="H86" s="17">
        <v>50119</v>
      </c>
      <c r="I86" s="17">
        <v>400952</v>
      </c>
      <c r="J86" s="17">
        <v>273408</v>
      </c>
      <c r="K86" s="17">
        <v>127544</v>
      </c>
      <c r="L86" s="17">
        <v>4.8</v>
      </c>
      <c r="M86" s="19">
        <v>7793</v>
      </c>
      <c r="N86" s="20">
        <f t="shared" si="2"/>
        <v>7.04</v>
      </c>
    </row>
    <row r="87" customHeight="1" spans="1:14">
      <c r="A87" s="15" t="s">
        <v>119</v>
      </c>
      <c r="B87" s="16">
        <v>46035</v>
      </c>
      <c r="C87" s="17" t="s">
        <v>37</v>
      </c>
      <c r="D87" s="17" t="s">
        <v>25</v>
      </c>
      <c r="E87" s="17" t="s">
        <v>29</v>
      </c>
      <c r="F87" s="17" t="s">
        <v>18</v>
      </c>
      <c r="G87" s="17">
        <v>2</v>
      </c>
      <c r="H87" s="17">
        <v>14064</v>
      </c>
      <c r="I87" s="17">
        <v>28128</v>
      </c>
      <c r="J87" s="17">
        <v>15564</v>
      </c>
      <c r="K87" s="17">
        <v>12564</v>
      </c>
      <c r="L87" s="17">
        <v>4.6</v>
      </c>
      <c r="M87" s="19">
        <v>7459</v>
      </c>
      <c r="N87" s="20">
        <f t="shared" si="2"/>
        <v>8.31</v>
      </c>
    </row>
    <row r="88" customHeight="1" spans="1:14">
      <c r="A88" s="15" t="s">
        <v>120</v>
      </c>
      <c r="B88" s="16">
        <v>46046</v>
      </c>
      <c r="C88" s="17" t="s">
        <v>15</v>
      </c>
      <c r="D88" s="17" t="s">
        <v>20</v>
      </c>
      <c r="E88" s="17" t="s">
        <v>29</v>
      </c>
      <c r="F88" s="17" t="s">
        <v>18</v>
      </c>
      <c r="G88" s="17">
        <v>6</v>
      </c>
      <c r="H88" s="17">
        <v>14770</v>
      </c>
      <c r="I88" s="17">
        <v>88620</v>
      </c>
      <c r="J88" s="17">
        <v>53196</v>
      </c>
      <c r="K88" s="17">
        <v>35424</v>
      </c>
      <c r="L88" s="17">
        <v>3.4</v>
      </c>
      <c r="M88" s="19">
        <v>16944</v>
      </c>
      <c r="N88" s="20">
        <f t="shared" si="2"/>
        <v>5.66</v>
      </c>
    </row>
    <row r="89" customHeight="1" spans="1:14">
      <c r="A89" s="15" t="s">
        <v>121</v>
      </c>
      <c r="B89" s="16">
        <v>46169</v>
      </c>
      <c r="C89" s="17" t="s">
        <v>15</v>
      </c>
      <c r="D89" s="17" t="s">
        <v>35</v>
      </c>
      <c r="E89" s="17" t="s">
        <v>54</v>
      </c>
      <c r="F89" s="17" t="s">
        <v>22</v>
      </c>
      <c r="G89" s="17">
        <v>15</v>
      </c>
      <c r="H89" s="17">
        <v>5362</v>
      </c>
      <c r="I89" s="17">
        <v>80430</v>
      </c>
      <c r="J89" s="17">
        <v>37005</v>
      </c>
      <c r="K89" s="17">
        <v>43425</v>
      </c>
      <c r="L89" s="17">
        <v>3.7</v>
      </c>
      <c r="M89" s="19">
        <v>9387</v>
      </c>
      <c r="N89" s="20">
        <f t="shared" si="2"/>
        <v>8.04</v>
      </c>
    </row>
    <row r="90" customHeight="1" spans="1:14">
      <c r="A90" s="15" t="s">
        <v>122</v>
      </c>
      <c r="B90" s="16">
        <v>46047</v>
      </c>
      <c r="C90" s="17" t="s">
        <v>28</v>
      </c>
      <c r="D90" s="17" t="s">
        <v>25</v>
      </c>
      <c r="E90" s="17" t="s">
        <v>21</v>
      </c>
      <c r="F90" s="17" t="s">
        <v>22</v>
      </c>
      <c r="G90" s="17">
        <v>6</v>
      </c>
      <c r="H90" s="17">
        <v>10712</v>
      </c>
      <c r="I90" s="17">
        <v>64272</v>
      </c>
      <c r="J90" s="17">
        <v>37482</v>
      </c>
      <c r="K90" s="17">
        <v>26790</v>
      </c>
      <c r="L90" s="17">
        <v>3.5</v>
      </c>
      <c r="M90" s="19">
        <v>9829</v>
      </c>
      <c r="N90" s="20">
        <f t="shared" si="2"/>
        <v>6</v>
      </c>
    </row>
    <row r="91" customHeight="1" spans="1:14">
      <c r="A91" s="15" t="s">
        <v>123</v>
      </c>
      <c r="B91" s="16">
        <v>46029</v>
      </c>
      <c r="C91" s="17" t="s">
        <v>24</v>
      </c>
      <c r="D91" s="17" t="s">
        <v>42</v>
      </c>
      <c r="E91" s="17" t="s">
        <v>54</v>
      </c>
      <c r="F91" s="17" t="s">
        <v>22</v>
      </c>
      <c r="G91" s="17">
        <v>1</v>
      </c>
      <c r="H91" s="17">
        <v>7747</v>
      </c>
      <c r="I91" s="17">
        <v>7747</v>
      </c>
      <c r="J91" s="17">
        <v>2154</v>
      </c>
      <c r="K91" s="17">
        <v>5593</v>
      </c>
      <c r="L91" s="17">
        <v>3.7</v>
      </c>
      <c r="M91" s="19">
        <v>6820</v>
      </c>
      <c r="N91" s="20">
        <f t="shared" si="2"/>
        <v>13.31</v>
      </c>
    </row>
    <row r="92" customHeight="1" spans="1:14">
      <c r="A92" s="15" t="s">
        <v>124</v>
      </c>
      <c r="B92" s="16">
        <v>46164</v>
      </c>
      <c r="C92" s="17" t="s">
        <v>15</v>
      </c>
      <c r="D92" s="17" t="s">
        <v>25</v>
      </c>
      <c r="E92" s="17" t="s">
        <v>21</v>
      </c>
      <c r="F92" s="17" t="s">
        <v>22</v>
      </c>
      <c r="G92" s="17">
        <v>19</v>
      </c>
      <c r="H92" s="17">
        <v>8964</v>
      </c>
      <c r="I92" s="17">
        <v>170316</v>
      </c>
      <c r="J92" s="17">
        <v>130720</v>
      </c>
      <c r="K92" s="17">
        <v>39596</v>
      </c>
      <c r="L92" s="17">
        <v>3.9</v>
      </c>
      <c r="M92" s="19">
        <v>17645</v>
      </c>
      <c r="N92" s="20">
        <f t="shared" si="2"/>
        <v>5.08</v>
      </c>
    </row>
    <row r="93" customHeight="1" spans="1:14">
      <c r="A93" s="15" t="s">
        <v>125</v>
      </c>
      <c r="B93" s="16">
        <v>46074</v>
      </c>
      <c r="C93" s="17" t="s">
        <v>24</v>
      </c>
      <c r="D93" s="17" t="s">
        <v>48</v>
      </c>
      <c r="E93" s="17" t="s">
        <v>17</v>
      </c>
      <c r="F93" s="17" t="s">
        <v>18</v>
      </c>
      <c r="G93" s="17">
        <v>19</v>
      </c>
      <c r="H93" s="17">
        <v>50125</v>
      </c>
      <c r="I93" s="17">
        <v>952375</v>
      </c>
      <c r="J93" s="17">
        <v>668135</v>
      </c>
      <c r="K93" s="17">
        <v>284240</v>
      </c>
      <c r="L93" s="17">
        <v>2.9</v>
      </c>
      <c r="M93" s="19">
        <v>16586</v>
      </c>
      <c r="N93" s="20">
        <f t="shared" si="2"/>
        <v>4.13</v>
      </c>
    </row>
    <row r="94" customHeight="1" spans="1:14">
      <c r="A94" s="15" t="s">
        <v>126</v>
      </c>
      <c r="B94" s="16">
        <v>46161</v>
      </c>
      <c r="C94" s="17" t="s">
        <v>37</v>
      </c>
      <c r="D94" s="17" t="s">
        <v>52</v>
      </c>
      <c r="E94" s="17" t="s">
        <v>26</v>
      </c>
      <c r="F94" s="17" t="s">
        <v>18</v>
      </c>
      <c r="G94" s="17">
        <v>19</v>
      </c>
      <c r="H94" s="17">
        <v>19781</v>
      </c>
      <c r="I94" s="17">
        <v>375839</v>
      </c>
      <c r="J94" s="17">
        <v>224542</v>
      </c>
      <c r="K94" s="17">
        <v>151297</v>
      </c>
      <c r="L94" s="17">
        <v>3.2</v>
      </c>
      <c r="M94" s="19">
        <v>12378</v>
      </c>
      <c r="N94" s="20">
        <f t="shared" si="2"/>
        <v>5.36</v>
      </c>
    </row>
    <row r="95" customHeight="1" spans="1:14">
      <c r="A95" s="15" t="s">
        <v>127</v>
      </c>
      <c r="B95" s="16">
        <v>46149</v>
      </c>
      <c r="C95" s="17" t="s">
        <v>28</v>
      </c>
      <c r="D95" s="17" t="s">
        <v>35</v>
      </c>
      <c r="E95" s="17" t="s">
        <v>17</v>
      </c>
      <c r="F95" s="17" t="s">
        <v>18</v>
      </c>
      <c r="G95" s="17">
        <v>12</v>
      </c>
      <c r="H95" s="17">
        <v>49662</v>
      </c>
      <c r="I95" s="17">
        <v>595944</v>
      </c>
      <c r="J95" s="17">
        <v>429312</v>
      </c>
      <c r="K95" s="17">
        <v>166632</v>
      </c>
      <c r="L95" s="17">
        <v>4.1</v>
      </c>
      <c r="M95" s="19">
        <v>16808</v>
      </c>
      <c r="N95" s="20">
        <f t="shared" si="2"/>
        <v>5.69</v>
      </c>
    </row>
    <row r="96" customHeight="1" spans="1:14">
      <c r="A96" s="15" t="s">
        <v>128</v>
      </c>
      <c r="B96" s="16">
        <v>46151</v>
      </c>
      <c r="C96" s="17" t="s">
        <v>37</v>
      </c>
      <c r="D96" s="17" t="s">
        <v>20</v>
      </c>
      <c r="E96" s="17" t="s">
        <v>54</v>
      </c>
      <c r="F96" s="17" t="s">
        <v>22</v>
      </c>
      <c r="G96" s="17">
        <v>12</v>
      </c>
      <c r="H96" s="17">
        <v>4020</v>
      </c>
      <c r="I96" s="17">
        <v>48240</v>
      </c>
      <c r="J96" s="17">
        <v>43632</v>
      </c>
      <c r="K96" s="17">
        <v>4608</v>
      </c>
      <c r="L96" s="17">
        <v>3.4</v>
      </c>
      <c r="M96" s="19">
        <v>12313</v>
      </c>
      <c r="N96" s="20">
        <f t="shared" si="2"/>
        <v>3.76</v>
      </c>
    </row>
    <row r="97" customHeight="1" spans="1:14">
      <c r="A97" s="15" t="s">
        <v>129</v>
      </c>
      <c r="B97" s="16">
        <v>46171</v>
      </c>
      <c r="C97" s="17" t="s">
        <v>28</v>
      </c>
      <c r="D97" s="17" t="s">
        <v>42</v>
      </c>
      <c r="E97" s="17" t="s">
        <v>54</v>
      </c>
      <c r="F97" s="17" t="s">
        <v>22</v>
      </c>
      <c r="G97" s="17">
        <v>10</v>
      </c>
      <c r="H97" s="17">
        <v>3589</v>
      </c>
      <c r="I97" s="17">
        <v>35890</v>
      </c>
      <c r="J97" s="17">
        <v>37550</v>
      </c>
      <c r="K97" s="17">
        <v>-1660</v>
      </c>
      <c r="L97" s="17">
        <v>3</v>
      </c>
      <c r="M97" s="19">
        <v>14217</v>
      </c>
      <c r="N97" s="20">
        <f t="shared" si="2"/>
        <v>2.87</v>
      </c>
    </row>
    <row r="98" customHeight="1" spans="1:14">
      <c r="A98" s="15" t="s">
        <v>130</v>
      </c>
      <c r="B98" s="16">
        <v>46196</v>
      </c>
      <c r="C98" s="17" t="s">
        <v>15</v>
      </c>
      <c r="D98" s="17" t="s">
        <v>25</v>
      </c>
      <c r="E98" s="17" t="s">
        <v>54</v>
      </c>
      <c r="F98" s="17" t="s">
        <v>22</v>
      </c>
      <c r="G98" s="17">
        <v>13</v>
      </c>
      <c r="H98" s="17">
        <v>3208</v>
      </c>
      <c r="I98" s="17">
        <v>41704</v>
      </c>
      <c r="J98" s="17">
        <v>51324</v>
      </c>
      <c r="K98" s="17">
        <v>-9620</v>
      </c>
      <c r="L98" s="17">
        <v>4.7</v>
      </c>
      <c r="M98" s="19">
        <v>14578</v>
      </c>
      <c r="N98" s="20">
        <f t="shared" si="2"/>
        <v>3.82</v>
      </c>
    </row>
    <row r="99" customHeight="1" spans="1:14">
      <c r="A99" s="15" t="s">
        <v>131</v>
      </c>
      <c r="B99" s="16">
        <v>46195</v>
      </c>
      <c r="C99" s="17" t="s">
        <v>28</v>
      </c>
      <c r="D99" s="17" t="s">
        <v>25</v>
      </c>
      <c r="E99" s="17" t="s">
        <v>21</v>
      </c>
      <c r="F99" s="17" t="s">
        <v>22</v>
      </c>
      <c r="G99" s="17">
        <v>7</v>
      </c>
      <c r="H99" s="17">
        <v>8847</v>
      </c>
      <c r="I99" s="17">
        <v>61929</v>
      </c>
      <c r="J99" s="17">
        <v>49091</v>
      </c>
      <c r="K99" s="17">
        <v>12838</v>
      </c>
      <c r="L99" s="17">
        <v>5</v>
      </c>
      <c r="M99" s="19">
        <v>11436</v>
      </c>
      <c r="N99" s="20">
        <f t="shared" ref="N99:N130" si="3">ROUND(I99/J99*L99,2)</f>
        <v>6.31</v>
      </c>
    </row>
    <row r="100" customHeight="1" spans="1:14">
      <c r="A100" s="15" t="s">
        <v>132</v>
      </c>
      <c r="B100" s="16">
        <v>46146</v>
      </c>
      <c r="C100" s="17" t="s">
        <v>24</v>
      </c>
      <c r="D100" s="17" t="s">
        <v>25</v>
      </c>
      <c r="E100" s="17" t="s">
        <v>32</v>
      </c>
      <c r="F100" s="17" t="s">
        <v>18</v>
      </c>
      <c r="G100" s="17">
        <v>1</v>
      </c>
      <c r="H100" s="17">
        <v>25298</v>
      </c>
      <c r="I100" s="17">
        <v>25298</v>
      </c>
      <c r="J100" s="17">
        <v>17098</v>
      </c>
      <c r="K100" s="17">
        <v>8200</v>
      </c>
      <c r="L100" s="17">
        <v>4.2</v>
      </c>
      <c r="M100" s="19">
        <v>8849</v>
      </c>
      <c r="N100" s="20">
        <f t="shared" si="3"/>
        <v>6.21</v>
      </c>
    </row>
    <row r="101" customHeight="1" spans="1:14">
      <c r="A101" s="15" t="s">
        <v>133</v>
      </c>
      <c r="B101" s="16">
        <v>46029</v>
      </c>
      <c r="C101" s="17" t="s">
        <v>28</v>
      </c>
      <c r="D101" s="17" t="s">
        <v>42</v>
      </c>
      <c r="E101" s="17" t="s">
        <v>21</v>
      </c>
      <c r="F101" s="17" t="s">
        <v>22</v>
      </c>
      <c r="G101" s="17">
        <v>15</v>
      </c>
      <c r="H101" s="17">
        <v>10092</v>
      </c>
      <c r="I101" s="17">
        <v>151380</v>
      </c>
      <c r="J101" s="17">
        <v>102630</v>
      </c>
      <c r="K101" s="17">
        <v>48750</v>
      </c>
      <c r="L101" s="17">
        <v>4.1</v>
      </c>
      <c r="M101" s="19">
        <v>9359</v>
      </c>
      <c r="N101" s="20">
        <f t="shared" si="3"/>
        <v>6.05</v>
      </c>
    </row>
    <row r="102" customHeight="1" spans="1:14">
      <c r="A102" s="15" t="s">
        <v>134</v>
      </c>
      <c r="B102" s="16">
        <v>46199</v>
      </c>
      <c r="C102" s="17" t="s">
        <v>37</v>
      </c>
      <c r="D102" s="17" t="s">
        <v>35</v>
      </c>
      <c r="E102" s="17" t="s">
        <v>17</v>
      </c>
      <c r="F102" s="17" t="s">
        <v>18</v>
      </c>
      <c r="G102" s="17">
        <v>14</v>
      </c>
      <c r="H102" s="17">
        <v>51535</v>
      </c>
      <c r="I102" s="17">
        <v>721490</v>
      </c>
      <c r="J102" s="17">
        <v>481502</v>
      </c>
      <c r="K102" s="17">
        <v>239988</v>
      </c>
      <c r="L102" s="17">
        <v>4.1</v>
      </c>
      <c r="M102" s="19">
        <v>6995</v>
      </c>
      <c r="N102" s="20">
        <f t="shared" si="3"/>
        <v>6.14</v>
      </c>
    </row>
    <row r="103" customHeight="1" spans="1:14">
      <c r="A103" s="15" t="s">
        <v>135</v>
      </c>
      <c r="B103" s="16">
        <v>46069</v>
      </c>
      <c r="C103" s="17" t="s">
        <v>37</v>
      </c>
      <c r="D103" s="17" t="s">
        <v>40</v>
      </c>
      <c r="E103" s="17" t="s">
        <v>26</v>
      </c>
      <c r="F103" s="17" t="s">
        <v>18</v>
      </c>
      <c r="G103" s="17">
        <v>12</v>
      </c>
      <c r="H103" s="17">
        <v>18178</v>
      </c>
      <c r="I103" s="17">
        <v>218136</v>
      </c>
      <c r="J103" s="17">
        <v>146184</v>
      </c>
      <c r="K103" s="17">
        <v>71952</v>
      </c>
      <c r="L103" s="17">
        <v>4.7</v>
      </c>
      <c r="M103" s="19">
        <v>10267</v>
      </c>
      <c r="N103" s="20">
        <f t="shared" si="3"/>
        <v>7.01</v>
      </c>
    </row>
    <row r="104" customHeight="1" spans="1:14">
      <c r="A104" s="15" t="s">
        <v>136</v>
      </c>
      <c r="B104" s="16">
        <v>46110</v>
      </c>
      <c r="C104" s="17" t="s">
        <v>37</v>
      </c>
      <c r="D104" s="17" t="s">
        <v>16</v>
      </c>
      <c r="E104" s="17" t="s">
        <v>32</v>
      </c>
      <c r="F104" s="17" t="s">
        <v>18</v>
      </c>
      <c r="G104" s="17">
        <v>13</v>
      </c>
      <c r="H104" s="17">
        <v>25416</v>
      </c>
      <c r="I104" s="17">
        <v>330408</v>
      </c>
      <c r="J104" s="17">
        <v>238927</v>
      </c>
      <c r="K104" s="17">
        <v>91481</v>
      </c>
      <c r="L104" s="17">
        <v>4.3</v>
      </c>
      <c r="M104" s="19">
        <v>5333</v>
      </c>
      <c r="N104" s="20">
        <f t="shared" si="3"/>
        <v>5.95</v>
      </c>
    </row>
    <row r="105" customHeight="1" spans="1:14">
      <c r="A105" s="15" t="s">
        <v>137</v>
      </c>
      <c r="B105" s="16">
        <v>46145</v>
      </c>
      <c r="C105" s="17" t="s">
        <v>28</v>
      </c>
      <c r="D105" s="17" t="s">
        <v>20</v>
      </c>
      <c r="E105" s="17" t="s">
        <v>29</v>
      </c>
      <c r="F105" s="17" t="s">
        <v>18</v>
      </c>
      <c r="G105" s="17">
        <v>8</v>
      </c>
      <c r="H105" s="17">
        <v>12038</v>
      </c>
      <c r="I105" s="17">
        <v>96304</v>
      </c>
      <c r="J105" s="17">
        <v>65944</v>
      </c>
      <c r="K105" s="17">
        <v>30360</v>
      </c>
      <c r="L105" s="17">
        <v>3.8</v>
      </c>
      <c r="M105" s="19">
        <v>18928</v>
      </c>
      <c r="N105" s="20">
        <f t="shared" si="3"/>
        <v>5.55</v>
      </c>
    </row>
    <row r="106" customHeight="1" spans="1:14">
      <c r="A106" s="15" t="s">
        <v>138</v>
      </c>
      <c r="B106" s="16">
        <v>46043</v>
      </c>
      <c r="C106" s="17" t="s">
        <v>37</v>
      </c>
      <c r="D106" s="17" t="s">
        <v>20</v>
      </c>
      <c r="E106" s="17" t="s">
        <v>54</v>
      </c>
      <c r="F106" s="17" t="s">
        <v>22</v>
      </c>
      <c r="G106" s="17">
        <v>15</v>
      </c>
      <c r="H106" s="17">
        <v>7892</v>
      </c>
      <c r="I106" s="17">
        <v>118380</v>
      </c>
      <c r="J106" s="17">
        <v>50715</v>
      </c>
      <c r="K106" s="17">
        <v>67665</v>
      </c>
      <c r="L106" s="17">
        <v>3.8</v>
      </c>
      <c r="M106" s="19">
        <v>9568</v>
      </c>
      <c r="N106" s="20">
        <f t="shared" si="3"/>
        <v>8.87</v>
      </c>
    </row>
    <row r="107" customHeight="1" spans="1:14">
      <c r="A107" s="15" t="s">
        <v>139</v>
      </c>
      <c r="B107" s="16">
        <v>46173</v>
      </c>
      <c r="C107" s="17" t="s">
        <v>37</v>
      </c>
      <c r="D107" s="17" t="s">
        <v>52</v>
      </c>
      <c r="E107" s="17" t="s">
        <v>21</v>
      </c>
      <c r="F107" s="17" t="s">
        <v>22</v>
      </c>
      <c r="G107" s="17">
        <v>5</v>
      </c>
      <c r="H107" s="17">
        <v>11875</v>
      </c>
      <c r="I107" s="17">
        <v>59375</v>
      </c>
      <c r="J107" s="17">
        <v>30655</v>
      </c>
      <c r="K107" s="17">
        <v>28720</v>
      </c>
      <c r="L107" s="17">
        <v>3.4</v>
      </c>
      <c r="M107" s="19">
        <v>5651</v>
      </c>
      <c r="N107" s="20">
        <f t="shared" si="3"/>
        <v>6.59</v>
      </c>
    </row>
    <row r="108" customHeight="1" spans="1:14">
      <c r="A108" s="15" t="s">
        <v>140</v>
      </c>
      <c r="B108" s="16">
        <v>46181</v>
      </c>
      <c r="C108" s="17" t="s">
        <v>37</v>
      </c>
      <c r="D108" s="17" t="s">
        <v>40</v>
      </c>
      <c r="E108" s="17" t="s">
        <v>17</v>
      </c>
      <c r="F108" s="17" t="s">
        <v>18</v>
      </c>
      <c r="G108" s="17">
        <v>15</v>
      </c>
      <c r="H108" s="17">
        <v>49295</v>
      </c>
      <c r="I108" s="17">
        <v>739425</v>
      </c>
      <c r="J108" s="17">
        <v>530490</v>
      </c>
      <c r="K108" s="17">
        <v>208935</v>
      </c>
      <c r="L108" s="17">
        <v>2.6</v>
      </c>
      <c r="M108" s="19">
        <v>7862</v>
      </c>
      <c r="N108" s="20">
        <f t="shared" si="3"/>
        <v>3.62</v>
      </c>
    </row>
    <row r="109" customHeight="1" spans="1:14">
      <c r="A109" s="15" t="s">
        <v>141</v>
      </c>
      <c r="B109" s="16">
        <v>46048</v>
      </c>
      <c r="C109" s="17" t="s">
        <v>24</v>
      </c>
      <c r="D109" s="17" t="s">
        <v>42</v>
      </c>
      <c r="E109" s="17" t="s">
        <v>54</v>
      </c>
      <c r="F109" s="17" t="s">
        <v>22</v>
      </c>
      <c r="G109" s="17">
        <v>1</v>
      </c>
      <c r="H109" s="17">
        <v>3650</v>
      </c>
      <c r="I109" s="17">
        <v>3650</v>
      </c>
      <c r="J109" s="17">
        <v>2671</v>
      </c>
      <c r="K109" s="17">
        <v>979</v>
      </c>
      <c r="L109" s="17">
        <v>3.2</v>
      </c>
      <c r="M109" s="19">
        <v>19006</v>
      </c>
      <c r="N109" s="20">
        <f t="shared" si="3"/>
        <v>4.37</v>
      </c>
    </row>
    <row r="110" customHeight="1" spans="1:14">
      <c r="A110" s="15" t="s">
        <v>142</v>
      </c>
      <c r="B110" s="16">
        <v>46040</v>
      </c>
      <c r="C110" s="17" t="s">
        <v>24</v>
      </c>
      <c r="D110" s="17" t="s">
        <v>25</v>
      </c>
      <c r="E110" s="17" t="s">
        <v>26</v>
      </c>
      <c r="F110" s="17" t="s">
        <v>18</v>
      </c>
      <c r="G110" s="17">
        <v>17</v>
      </c>
      <c r="H110" s="17">
        <v>19322</v>
      </c>
      <c r="I110" s="17">
        <v>328474</v>
      </c>
      <c r="J110" s="17">
        <v>204374</v>
      </c>
      <c r="K110" s="17">
        <v>124100</v>
      </c>
      <c r="L110" s="17">
        <v>2.5</v>
      </c>
      <c r="M110" s="19">
        <v>5506</v>
      </c>
      <c r="N110" s="20">
        <f t="shared" si="3"/>
        <v>4.02</v>
      </c>
    </row>
    <row r="111" customHeight="1" spans="1:14">
      <c r="A111" s="15" t="s">
        <v>143</v>
      </c>
      <c r="B111" s="16">
        <v>46050</v>
      </c>
      <c r="C111" s="17" t="s">
        <v>37</v>
      </c>
      <c r="D111" s="17" t="s">
        <v>16</v>
      </c>
      <c r="E111" s="17" t="s">
        <v>32</v>
      </c>
      <c r="F111" s="17" t="s">
        <v>18</v>
      </c>
      <c r="G111" s="17">
        <v>3</v>
      </c>
      <c r="H111" s="17">
        <v>24772</v>
      </c>
      <c r="I111" s="17">
        <v>74316</v>
      </c>
      <c r="J111" s="17">
        <v>51189</v>
      </c>
      <c r="K111" s="17">
        <v>23127</v>
      </c>
      <c r="L111" s="17">
        <v>2.7</v>
      </c>
      <c r="M111" s="19">
        <v>15336</v>
      </c>
      <c r="N111" s="20">
        <f t="shared" si="3"/>
        <v>3.92</v>
      </c>
    </row>
    <row r="112" customHeight="1" spans="1:14">
      <c r="A112" s="15" t="s">
        <v>144</v>
      </c>
      <c r="B112" s="16">
        <v>46057</v>
      </c>
      <c r="C112" s="17" t="s">
        <v>15</v>
      </c>
      <c r="D112" s="17" t="s">
        <v>48</v>
      </c>
      <c r="E112" s="17" t="s">
        <v>29</v>
      </c>
      <c r="F112" s="17" t="s">
        <v>18</v>
      </c>
      <c r="G112" s="17">
        <v>19</v>
      </c>
      <c r="H112" s="17">
        <v>14619</v>
      </c>
      <c r="I112" s="17">
        <v>277761</v>
      </c>
      <c r="J112" s="17">
        <v>139650</v>
      </c>
      <c r="K112" s="17">
        <v>138111</v>
      </c>
      <c r="L112" s="17">
        <v>3.6</v>
      </c>
      <c r="M112" s="19">
        <v>19138</v>
      </c>
      <c r="N112" s="20">
        <f t="shared" si="3"/>
        <v>7.16</v>
      </c>
    </row>
    <row r="113" customHeight="1" spans="1:14">
      <c r="A113" s="15" t="s">
        <v>145</v>
      </c>
      <c r="B113" s="16">
        <v>46116</v>
      </c>
      <c r="C113" s="17" t="s">
        <v>24</v>
      </c>
      <c r="D113" s="17" t="s">
        <v>52</v>
      </c>
      <c r="E113" s="17" t="s">
        <v>21</v>
      </c>
      <c r="F113" s="17" t="s">
        <v>22</v>
      </c>
      <c r="G113" s="17">
        <v>4</v>
      </c>
      <c r="H113" s="17">
        <v>12345</v>
      </c>
      <c r="I113" s="17">
        <v>49380</v>
      </c>
      <c r="J113" s="17">
        <v>24536</v>
      </c>
      <c r="K113" s="17">
        <v>24844</v>
      </c>
      <c r="L113" s="17">
        <v>2.6</v>
      </c>
      <c r="M113" s="19">
        <v>5008</v>
      </c>
      <c r="N113" s="20">
        <f t="shared" si="3"/>
        <v>5.23</v>
      </c>
    </row>
    <row r="114" customHeight="1" spans="1:14">
      <c r="A114" s="15" t="s">
        <v>146</v>
      </c>
      <c r="B114" s="16">
        <v>46181</v>
      </c>
      <c r="C114" s="17" t="s">
        <v>15</v>
      </c>
      <c r="D114" s="17" t="s">
        <v>40</v>
      </c>
      <c r="E114" s="17" t="s">
        <v>54</v>
      </c>
      <c r="F114" s="17" t="s">
        <v>22</v>
      </c>
      <c r="G114" s="17">
        <v>12</v>
      </c>
      <c r="H114" s="17">
        <v>3099</v>
      </c>
      <c r="I114" s="17">
        <v>37188</v>
      </c>
      <c r="J114" s="17">
        <v>35112</v>
      </c>
      <c r="K114" s="17">
        <v>2076</v>
      </c>
      <c r="L114" s="17">
        <v>4.3</v>
      </c>
      <c r="M114" s="19">
        <v>7990</v>
      </c>
      <c r="N114" s="20">
        <f t="shared" si="3"/>
        <v>4.55</v>
      </c>
    </row>
    <row r="115" customHeight="1" spans="1:14">
      <c r="A115" s="15" t="s">
        <v>147</v>
      </c>
      <c r="B115" s="16">
        <v>46176</v>
      </c>
      <c r="C115" s="17" t="s">
        <v>24</v>
      </c>
      <c r="D115" s="17" t="s">
        <v>52</v>
      </c>
      <c r="E115" s="17" t="s">
        <v>32</v>
      </c>
      <c r="F115" s="17" t="s">
        <v>18</v>
      </c>
      <c r="G115" s="17">
        <v>7</v>
      </c>
      <c r="H115" s="17">
        <v>25639</v>
      </c>
      <c r="I115" s="17">
        <v>179473</v>
      </c>
      <c r="J115" s="17">
        <v>124810</v>
      </c>
      <c r="K115" s="17">
        <v>54663</v>
      </c>
      <c r="L115" s="17">
        <v>4.3</v>
      </c>
      <c r="M115" s="19">
        <v>10135</v>
      </c>
      <c r="N115" s="20">
        <f t="shared" si="3"/>
        <v>6.18</v>
      </c>
    </row>
    <row r="116" customHeight="1" spans="1:14">
      <c r="A116" s="15" t="s">
        <v>148</v>
      </c>
      <c r="B116" s="16">
        <v>46029</v>
      </c>
      <c r="C116" s="17" t="s">
        <v>37</v>
      </c>
      <c r="D116" s="17" t="s">
        <v>25</v>
      </c>
      <c r="E116" s="17" t="s">
        <v>21</v>
      </c>
      <c r="F116" s="17" t="s">
        <v>22</v>
      </c>
      <c r="G116" s="17">
        <v>10</v>
      </c>
      <c r="H116" s="17">
        <v>12511</v>
      </c>
      <c r="I116" s="17">
        <v>125110</v>
      </c>
      <c r="J116" s="17">
        <v>57170</v>
      </c>
      <c r="K116" s="17">
        <v>67940</v>
      </c>
      <c r="L116" s="17">
        <v>3.4</v>
      </c>
      <c r="M116" s="19">
        <v>11604</v>
      </c>
      <c r="N116" s="20">
        <f t="shared" si="3"/>
        <v>7.44</v>
      </c>
    </row>
    <row r="117" customHeight="1" spans="1:14">
      <c r="A117" s="15" t="s">
        <v>149</v>
      </c>
      <c r="B117" s="16">
        <v>46105</v>
      </c>
      <c r="C117" s="17" t="s">
        <v>37</v>
      </c>
      <c r="D117" s="17" t="s">
        <v>16</v>
      </c>
      <c r="E117" s="17" t="s">
        <v>17</v>
      </c>
      <c r="F117" s="17" t="s">
        <v>18</v>
      </c>
      <c r="G117" s="17">
        <v>17</v>
      </c>
      <c r="H117" s="17">
        <v>50673</v>
      </c>
      <c r="I117" s="17">
        <v>861441</v>
      </c>
      <c r="J117" s="17">
        <v>589288</v>
      </c>
      <c r="K117" s="17">
        <v>272153</v>
      </c>
      <c r="L117" s="17">
        <v>4.6</v>
      </c>
      <c r="M117" s="19">
        <v>15146</v>
      </c>
      <c r="N117" s="20">
        <f t="shared" si="3"/>
        <v>6.72</v>
      </c>
    </row>
    <row r="118" customHeight="1" spans="1:14">
      <c r="A118" s="15" t="s">
        <v>150</v>
      </c>
      <c r="B118" s="16">
        <v>46185</v>
      </c>
      <c r="C118" s="17" t="s">
        <v>37</v>
      </c>
      <c r="D118" s="17" t="s">
        <v>52</v>
      </c>
      <c r="E118" s="17" t="s">
        <v>17</v>
      </c>
      <c r="F118" s="17" t="s">
        <v>18</v>
      </c>
      <c r="G118" s="17">
        <v>5</v>
      </c>
      <c r="H118" s="17">
        <v>50660</v>
      </c>
      <c r="I118" s="17">
        <v>253300</v>
      </c>
      <c r="J118" s="17">
        <v>178885</v>
      </c>
      <c r="K118" s="17">
        <v>74415</v>
      </c>
      <c r="L118" s="17">
        <v>4.1</v>
      </c>
      <c r="M118" s="19">
        <v>17723</v>
      </c>
      <c r="N118" s="20">
        <f t="shared" si="3"/>
        <v>5.81</v>
      </c>
    </row>
    <row r="119" customHeight="1" spans="1:14">
      <c r="A119" s="15" t="s">
        <v>151</v>
      </c>
      <c r="B119" s="16">
        <v>46195</v>
      </c>
      <c r="C119" s="17" t="s">
        <v>28</v>
      </c>
      <c r="D119" s="17" t="s">
        <v>35</v>
      </c>
      <c r="E119" s="17" t="s">
        <v>29</v>
      </c>
      <c r="F119" s="17" t="s">
        <v>18</v>
      </c>
      <c r="G119" s="17">
        <v>9</v>
      </c>
      <c r="H119" s="17">
        <v>12668</v>
      </c>
      <c r="I119" s="17">
        <v>114012</v>
      </c>
      <c r="J119" s="17">
        <v>79227</v>
      </c>
      <c r="K119" s="17">
        <v>34785</v>
      </c>
      <c r="L119" s="17">
        <v>3.1</v>
      </c>
      <c r="M119" s="19">
        <v>16843</v>
      </c>
      <c r="N119" s="20">
        <f t="shared" si="3"/>
        <v>4.46</v>
      </c>
    </row>
    <row r="120" customHeight="1" spans="1:14">
      <c r="A120" s="15" t="s">
        <v>152</v>
      </c>
      <c r="B120" s="16">
        <v>46078</v>
      </c>
      <c r="C120" s="17" t="s">
        <v>28</v>
      </c>
      <c r="D120" s="17" t="s">
        <v>52</v>
      </c>
      <c r="E120" s="17" t="s">
        <v>17</v>
      </c>
      <c r="F120" s="17" t="s">
        <v>18</v>
      </c>
      <c r="G120" s="17">
        <v>14</v>
      </c>
      <c r="H120" s="17">
        <v>52801</v>
      </c>
      <c r="I120" s="17">
        <v>739214</v>
      </c>
      <c r="J120" s="17">
        <v>487326</v>
      </c>
      <c r="K120" s="17">
        <v>251888</v>
      </c>
      <c r="L120" s="17">
        <v>4</v>
      </c>
      <c r="M120" s="19">
        <v>5021</v>
      </c>
      <c r="N120" s="20">
        <f t="shared" si="3"/>
        <v>6.07</v>
      </c>
    </row>
    <row r="121" customHeight="1" spans="1:14">
      <c r="A121" s="15" t="s">
        <v>153</v>
      </c>
      <c r="B121" s="16">
        <v>46052</v>
      </c>
      <c r="C121" s="17" t="s">
        <v>37</v>
      </c>
      <c r="D121" s="17" t="s">
        <v>25</v>
      </c>
      <c r="E121" s="17" t="s">
        <v>54</v>
      </c>
      <c r="F121" s="17" t="s">
        <v>22</v>
      </c>
      <c r="G121" s="17">
        <v>10</v>
      </c>
      <c r="H121" s="17">
        <v>7296</v>
      </c>
      <c r="I121" s="17">
        <v>72960</v>
      </c>
      <c r="J121" s="17">
        <v>36110</v>
      </c>
      <c r="K121" s="17">
        <v>36850</v>
      </c>
      <c r="L121" s="17">
        <v>4.5</v>
      </c>
      <c r="M121" s="19">
        <v>15808</v>
      </c>
      <c r="N121" s="20">
        <f t="shared" si="3"/>
        <v>9.09</v>
      </c>
    </row>
    <row r="122" customHeight="1" spans="1:14">
      <c r="A122" s="15" t="s">
        <v>154</v>
      </c>
      <c r="B122" s="16">
        <v>46177</v>
      </c>
      <c r="C122" s="17" t="s">
        <v>28</v>
      </c>
      <c r="D122" s="17" t="s">
        <v>48</v>
      </c>
      <c r="E122" s="17" t="s">
        <v>17</v>
      </c>
      <c r="F122" s="17" t="s">
        <v>18</v>
      </c>
      <c r="G122" s="17">
        <v>20</v>
      </c>
      <c r="H122" s="17">
        <v>49855</v>
      </c>
      <c r="I122" s="17">
        <v>997100</v>
      </c>
      <c r="J122" s="17">
        <v>718980</v>
      </c>
      <c r="K122" s="17">
        <v>278120</v>
      </c>
      <c r="L122" s="17">
        <v>4.3</v>
      </c>
      <c r="M122" s="19">
        <v>13182</v>
      </c>
      <c r="N122" s="20">
        <f t="shared" si="3"/>
        <v>5.96</v>
      </c>
    </row>
    <row r="123" customHeight="1" spans="1:14">
      <c r="A123" s="15" t="s">
        <v>155</v>
      </c>
      <c r="B123" s="16">
        <v>46104</v>
      </c>
      <c r="C123" s="17" t="s">
        <v>37</v>
      </c>
      <c r="D123" s="17" t="s">
        <v>25</v>
      </c>
      <c r="E123" s="17" t="s">
        <v>26</v>
      </c>
      <c r="F123" s="17" t="s">
        <v>18</v>
      </c>
      <c r="G123" s="17">
        <v>6</v>
      </c>
      <c r="H123" s="17">
        <v>16461</v>
      </c>
      <c r="I123" s="17">
        <v>98766</v>
      </c>
      <c r="J123" s="17">
        <v>68634</v>
      </c>
      <c r="K123" s="17">
        <v>30132</v>
      </c>
      <c r="L123" s="17">
        <v>2.9</v>
      </c>
      <c r="M123" s="19">
        <v>10199</v>
      </c>
      <c r="N123" s="20">
        <f t="shared" si="3"/>
        <v>4.17</v>
      </c>
    </row>
    <row r="124" customHeight="1" spans="1:14">
      <c r="A124" s="15" t="s">
        <v>156</v>
      </c>
      <c r="B124" s="16">
        <v>46173</v>
      </c>
      <c r="C124" s="17" t="s">
        <v>24</v>
      </c>
      <c r="D124" s="17" t="s">
        <v>52</v>
      </c>
      <c r="E124" s="17" t="s">
        <v>54</v>
      </c>
      <c r="F124" s="17" t="s">
        <v>22</v>
      </c>
      <c r="G124" s="17">
        <v>3</v>
      </c>
      <c r="H124" s="17">
        <v>3960</v>
      </c>
      <c r="I124" s="17">
        <v>11880</v>
      </c>
      <c r="J124" s="17">
        <v>10131</v>
      </c>
      <c r="K124" s="17">
        <v>1749</v>
      </c>
      <c r="L124" s="17">
        <v>5</v>
      </c>
      <c r="M124" s="19">
        <v>16236</v>
      </c>
      <c r="N124" s="20">
        <f t="shared" si="3"/>
        <v>5.86</v>
      </c>
    </row>
    <row r="125" customHeight="1" spans="1:14">
      <c r="A125" s="15" t="s">
        <v>157</v>
      </c>
      <c r="B125" s="16">
        <v>46140</v>
      </c>
      <c r="C125" s="17" t="s">
        <v>24</v>
      </c>
      <c r="D125" s="17" t="s">
        <v>42</v>
      </c>
      <c r="E125" s="17" t="s">
        <v>32</v>
      </c>
      <c r="F125" s="17" t="s">
        <v>18</v>
      </c>
      <c r="G125" s="17">
        <v>3</v>
      </c>
      <c r="H125" s="17">
        <v>25809</v>
      </c>
      <c r="I125" s="17">
        <v>77427</v>
      </c>
      <c r="J125" s="17">
        <v>52188</v>
      </c>
      <c r="K125" s="17">
        <v>25239</v>
      </c>
      <c r="L125" s="17">
        <v>4.6</v>
      </c>
      <c r="M125" s="19">
        <v>17827</v>
      </c>
      <c r="N125" s="20">
        <f t="shared" si="3"/>
        <v>6.82</v>
      </c>
    </row>
    <row r="126" customHeight="1" spans="1:14">
      <c r="A126" s="15" t="s">
        <v>158</v>
      </c>
      <c r="B126" s="16">
        <v>46023</v>
      </c>
      <c r="C126" s="17" t="s">
        <v>15</v>
      </c>
      <c r="D126" s="17" t="s">
        <v>16</v>
      </c>
      <c r="E126" s="17" t="s">
        <v>29</v>
      </c>
      <c r="F126" s="17" t="s">
        <v>18</v>
      </c>
      <c r="G126" s="17">
        <v>19</v>
      </c>
      <c r="H126" s="17">
        <v>11242</v>
      </c>
      <c r="I126" s="17">
        <v>213598</v>
      </c>
      <c r="J126" s="17">
        <v>133817</v>
      </c>
      <c r="K126" s="17">
        <v>79781</v>
      </c>
      <c r="L126" s="17">
        <v>3.3</v>
      </c>
      <c r="M126" s="19">
        <v>6725</v>
      </c>
      <c r="N126" s="20">
        <f t="shared" si="3"/>
        <v>5.27</v>
      </c>
    </row>
    <row r="127" customHeight="1" spans="1:14">
      <c r="A127" s="15" t="s">
        <v>159</v>
      </c>
      <c r="B127" s="16">
        <v>46122</v>
      </c>
      <c r="C127" s="17" t="s">
        <v>15</v>
      </c>
      <c r="D127" s="17" t="s">
        <v>16</v>
      </c>
      <c r="E127" s="17" t="s">
        <v>29</v>
      </c>
      <c r="F127" s="17" t="s">
        <v>18</v>
      </c>
      <c r="G127" s="17">
        <v>14</v>
      </c>
      <c r="H127" s="17">
        <v>13606</v>
      </c>
      <c r="I127" s="17">
        <v>190484</v>
      </c>
      <c r="J127" s="17">
        <v>117390</v>
      </c>
      <c r="K127" s="17">
        <v>73094</v>
      </c>
      <c r="L127" s="17">
        <v>3.9</v>
      </c>
      <c r="M127" s="19">
        <v>16226</v>
      </c>
      <c r="N127" s="20">
        <f t="shared" si="3"/>
        <v>6.33</v>
      </c>
    </row>
    <row r="128" customHeight="1" spans="1:14">
      <c r="A128" s="15" t="s">
        <v>160</v>
      </c>
      <c r="B128" s="16">
        <v>46203</v>
      </c>
      <c r="C128" s="17" t="s">
        <v>37</v>
      </c>
      <c r="D128" s="17" t="s">
        <v>40</v>
      </c>
      <c r="E128" s="17" t="s">
        <v>29</v>
      </c>
      <c r="F128" s="17" t="s">
        <v>18</v>
      </c>
      <c r="G128" s="17">
        <v>16</v>
      </c>
      <c r="H128" s="17">
        <v>11891</v>
      </c>
      <c r="I128" s="17">
        <v>190256</v>
      </c>
      <c r="J128" s="17">
        <v>119312</v>
      </c>
      <c r="K128" s="17">
        <v>70944</v>
      </c>
      <c r="L128" s="17">
        <v>3.3</v>
      </c>
      <c r="M128" s="19">
        <v>19772</v>
      </c>
      <c r="N128" s="20">
        <f t="shared" si="3"/>
        <v>5.26</v>
      </c>
    </row>
    <row r="129" customHeight="1" spans="1:14">
      <c r="A129" s="15" t="s">
        <v>161</v>
      </c>
      <c r="B129" s="16">
        <v>46039</v>
      </c>
      <c r="C129" s="17" t="s">
        <v>37</v>
      </c>
      <c r="D129" s="17" t="s">
        <v>35</v>
      </c>
      <c r="E129" s="17" t="s">
        <v>29</v>
      </c>
      <c r="F129" s="17" t="s">
        <v>18</v>
      </c>
      <c r="G129" s="17">
        <v>15</v>
      </c>
      <c r="H129" s="17">
        <v>10330</v>
      </c>
      <c r="I129" s="17">
        <v>154950</v>
      </c>
      <c r="J129" s="17">
        <v>121740</v>
      </c>
      <c r="K129" s="17">
        <v>33210</v>
      </c>
      <c r="L129" s="17">
        <v>2.5</v>
      </c>
      <c r="M129" s="19">
        <v>19522</v>
      </c>
      <c r="N129" s="20">
        <f t="shared" si="3"/>
        <v>3.18</v>
      </c>
    </row>
    <row r="130" customHeight="1" spans="1:14">
      <c r="A130" s="15" t="s">
        <v>162</v>
      </c>
      <c r="B130" s="16">
        <v>46093</v>
      </c>
      <c r="C130" s="17" t="s">
        <v>28</v>
      </c>
      <c r="D130" s="17" t="s">
        <v>42</v>
      </c>
      <c r="E130" s="17" t="s">
        <v>17</v>
      </c>
      <c r="F130" s="17" t="s">
        <v>18</v>
      </c>
      <c r="G130" s="17">
        <v>3</v>
      </c>
      <c r="H130" s="17">
        <v>52918</v>
      </c>
      <c r="I130" s="17">
        <v>158754</v>
      </c>
      <c r="J130" s="17">
        <v>104286</v>
      </c>
      <c r="K130" s="17">
        <v>54468</v>
      </c>
      <c r="L130" s="17">
        <v>2.8</v>
      </c>
      <c r="M130" s="19">
        <v>13685</v>
      </c>
      <c r="N130" s="20">
        <f t="shared" si="3"/>
        <v>4.26</v>
      </c>
    </row>
    <row r="131" customHeight="1" spans="1:14">
      <c r="A131" s="15" t="s">
        <v>163</v>
      </c>
      <c r="B131" s="16">
        <v>46112</v>
      </c>
      <c r="C131" s="17" t="s">
        <v>24</v>
      </c>
      <c r="D131" s="17" t="s">
        <v>25</v>
      </c>
      <c r="E131" s="17" t="s">
        <v>29</v>
      </c>
      <c r="F131" s="17" t="s">
        <v>18</v>
      </c>
      <c r="G131" s="17">
        <v>7</v>
      </c>
      <c r="H131" s="17">
        <v>11923</v>
      </c>
      <c r="I131" s="17">
        <v>83461</v>
      </c>
      <c r="J131" s="17">
        <v>54145</v>
      </c>
      <c r="K131" s="17">
        <v>29316</v>
      </c>
      <c r="L131" s="17">
        <v>4.5</v>
      </c>
      <c r="M131" s="19">
        <v>5978</v>
      </c>
      <c r="N131" s="20">
        <f t="shared" ref="N131:N162" si="4">ROUND(I131/J131*L131,2)</f>
        <v>6.94</v>
      </c>
    </row>
    <row r="132" customHeight="1" spans="1:14">
      <c r="A132" s="15" t="s">
        <v>164</v>
      </c>
      <c r="B132" s="16">
        <v>46178</v>
      </c>
      <c r="C132" s="17" t="s">
        <v>15</v>
      </c>
      <c r="D132" s="17" t="s">
        <v>16</v>
      </c>
      <c r="E132" s="17" t="s">
        <v>29</v>
      </c>
      <c r="F132" s="17" t="s">
        <v>18</v>
      </c>
      <c r="G132" s="17">
        <v>9</v>
      </c>
      <c r="H132" s="17">
        <v>13330</v>
      </c>
      <c r="I132" s="17">
        <v>119970</v>
      </c>
      <c r="J132" s="17">
        <v>68598</v>
      </c>
      <c r="K132" s="17">
        <v>51372</v>
      </c>
      <c r="L132" s="17">
        <v>3.7</v>
      </c>
      <c r="M132" s="19">
        <v>6163</v>
      </c>
      <c r="N132" s="20">
        <f t="shared" si="4"/>
        <v>6.47</v>
      </c>
    </row>
    <row r="133" customHeight="1" spans="1:14">
      <c r="A133" s="15" t="s">
        <v>165</v>
      </c>
      <c r="B133" s="16">
        <v>46050</v>
      </c>
      <c r="C133" s="17" t="s">
        <v>24</v>
      </c>
      <c r="D133" s="17" t="s">
        <v>48</v>
      </c>
      <c r="E133" s="17" t="s">
        <v>32</v>
      </c>
      <c r="F133" s="17" t="s">
        <v>18</v>
      </c>
      <c r="G133" s="17">
        <v>3</v>
      </c>
      <c r="H133" s="17">
        <v>26250</v>
      </c>
      <c r="I133" s="17">
        <v>78750</v>
      </c>
      <c r="J133" s="17">
        <v>52761</v>
      </c>
      <c r="K133" s="17">
        <v>25989</v>
      </c>
      <c r="L133" s="17">
        <v>4.7</v>
      </c>
      <c r="M133" s="19">
        <v>16107</v>
      </c>
      <c r="N133" s="20">
        <f t="shared" si="4"/>
        <v>7.02</v>
      </c>
    </row>
    <row r="134" customHeight="1" spans="1:14">
      <c r="A134" s="15" t="s">
        <v>166</v>
      </c>
      <c r="B134" s="16">
        <v>46068</v>
      </c>
      <c r="C134" s="17" t="s">
        <v>28</v>
      </c>
      <c r="D134" s="17" t="s">
        <v>40</v>
      </c>
      <c r="E134" s="17" t="s">
        <v>21</v>
      </c>
      <c r="F134" s="17" t="s">
        <v>22</v>
      </c>
      <c r="G134" s="17">
        <v>12</v>
      </c>
      <c r="H134" s="17">
        <v>10525</v>
      </c>
      <c r="I134" s="17">
        <v>126300</v>
      </c>
      <c r="J134" s="17">
        <v>66648</v>
      </c>
      <c r="K134" s="17">
        <v>59652</v>
      </c>
      <c r="L134" s="17">
        <v>2.8</v>
      </c>
      <c r="M134" s="19">
        <v>13108</v>
      </c>
      <c r="N134" s="20">
        <f t="shared" si="4"/>
        <v>5.31</v>
      </c>
    </row>
    <row r="135" customHeight="1" spans="1:14">
      <c r="A135" s="15" t="s">
        <v>167</v>
      </c>
      <c r="B135" s="16">
        <v>46040</v>
      </c>
      <c r="C135" s="17" t="s">
        <v>28</v>
      </c>
      <c r="D135" s="17" t="s">
        <v>25</v>
      </c>
      <c r="E135" s="17" t="s">
        <v>21</v>
      </c>
      <c r="F135" s="17" t="s">
        <v>22</v>
      </c>
      <c r="G135" s="17">
        <v>5</v>
      </c>
      <c r="H135" s="17">
        <v>11524</v>
      </c>
      <c r="I135" s="17">
        <v>57620</v>
      </c>
      <c r="J135" s="17">
        <v>31420</v>
      </c>
      <c r="K135" s="17">
        <v>26200</v>
      </c>
      <c r="L135" s="17">
        <v>4.7</v>
      </c>
      <c r="M135" s="19">
        <v>10575</v>
      </c>
      <c r="N135" s="20">
        <f t="shared" si="4"/>
        <v>8.62</v>
      </c>
    </row>
    <row r="136" customHeight="1" spans="1:14">
      <c r="A136" s="15" t="s">
        <v>168</v>
      </c>
      <c r="B136" s="16">
        <v>46069</v>
      </c>
      <c r="C136" s="17" t="s">
        <v>37</v>
      </c>
      <c r="D136" s="17" t="s">
        <v>20</v>
      </c>
      <c r="E136" s="17" t="s">
        <v>54</v>
      </c>
      <c r="F136" s="17" t="s">
        <v>22</v>
      </c>
      <c r="G136" s="17">
        <v>19</v>
      </c>
      <c r="H136" s="17">
        <v>5982</v>
      </c>
      <c r="I136" s="17">
        <v>113658</v>
      </c>
      <c r="J136" s="17">
        <v>58121</v>
      </c>
      <c r="K136" s="17">
        <v>55537</v>
      </c>
      <c r="L136" s="17">
        <v>2.6</v>
      </c>
      <c r="M136" s="19">
        <v>9916</v>
      </c>
      <c r="N136" s="20">
        <f t="shared" si="4"/>
        <v>5.08</v>
      </c>
    </row>
    <row r="137" customHeight="1" spans="1:14">
      <c r="A137" s="15" t="s">
        <v>169</v>
      </c>
      <c r="B137" s="16">
        <v>46095</v>
      </c>
      <c r="C137" s="17" t="s">
        <v>15</v>
      </c>
      <c r="D137" s="17" t="s">
        <v>48</v>
      </c>
      <c r="E137" s="17" t="s">
        <v>29</v>
      </c>
      <c r="F137" s="17" t="s">
        <v>18</v>
      </c>
      <c r="G137" s="17">
        <v>20</v>
      </c>
      <c r="H137" s="17">
        <v>12605</v>
      </c>
      <c r="I137" s="17">
        <v>252100</v>
      </c>
      <c r="J137" s="17">
        <v>161420</v>
      </c>
      <c r="K137" s="17">
        <v>90680</v>
      </c>
      <c r="L137" s="17">
        <v>3.6</v>
      </c>
      <c r="M137" s="19">
        <v>14897</v>
      </c>
      <c r="N137" s="20">
        <f t="shared" si="4"/>
        <v>5.62</v>
      </c>
    </row>
    <row r="138" customHeight="1" spans="1:14">
      <c r="A138" s="15" t="s">
        <v>170</v>
      </c>
      <c r="B138" s="16">
        <v>46149</v>
      </c>
      <c r="C138" s="17" t="s">
        <v>24</v>
      </c>
      <c r="D138" s="17" t="s">
        <v>42</v>
      </c>
      <c r="E138" s="17" t="s">
        <v>54</v>
      </c>
      <c r="F138" s="17" t="s">
        <v>22</v>
      </c>
      <c r="G138" s="17">
        <v>9</v>
      </c>
      <c r="H138" s="17">
        <v>4899</v>
      </c>
      <c r="I138" s="17">
        <v>44091</v>
      </c>
      <c r="J138" s="17">
        <v>30690</v>
      </c>
      <c r="K138" s="17">
        <v>13401</v>
      </c>
      <c r="L138" s="17">
        <v>3</v>
      </c>
      <c r="M138" s="19">
        <v>15667</v>
      </c>
      <c r="N138" s="20">
        <f t="shared" si="4"/>
        <v>4.31</v>
      </c>
    </row>
    <row r="139" customHeight="1" spans="1:14">
      <c r="A139" s="15" t="s">
        <v>171</v>
      </c>
      <c r="B139" s="16">
        <v>46147</v>
      </c>
      <c r="C139" s="17" t="s">
        <v>37</v>
      </c>
      <c r="D139" s="17" t="s">
        <v>42</v>
      </c>
      <c r="E139" s="17" t="s">
        <v>21</v>
      </c>
      <c r="F139" s="17" t="s">
        <v>22</v>
      </c>
      <c r="G139" s="17">
        <v>11</v>
      </c>
      <c r="H139" s="17">
        <v>10326</v>
      </c>
      <c r="I139" s="17">
        <v>113586</v>
      </c>
      <c r="J139" s="17">
        <v>75834</v>
      </c>
      <c r="K139" s="17">
        <v>37752</v>
      </c>
      <c r="L139" s="17">
        <v>3.5</v>
      </c>
      <c r="M139" s="19">
        <v>19144</v>
      </c>
      <c r="N139" s="20">
        <f t="shared" si="4"/>
        <v>5.24</v>
      </c>
    </row>
    <row r="140" customHeight="1" spans="1:14">
      <c r="A140" s="15" t="s">
        <v>172</v>
      </c>
      <c r="B140" s="16">
        <v>46100</v>
      </c>
      <c r="C140" s="17" t="s">
        <v>24</v>
      </c>
      <c r="D140" s="17" t="s">
        <v>40</v>
      </c>
      <c r="E140" s="17" t="s">
        <v>54</v>
      </c>
      <c r="F140" s="17" t="s">
        <v>22</v>
      </c>
      <c r="G140" s="17">
        <v>17</v>
      </c>
      <c r="H140" s="17">
        <v>4299</v>
      </c>
      <c r="I140" s="17">
        <v>73083</v>
      </c>
      <c r="J140" s="17">
        <v>43639</v>
      </c>
      <c r="K140" s="17">
        <v>29444</v>
      </c>
      <c r="L140" s="17">
        <v>4.8</v>
      </c>
      <c r="M140" s="19">
        <v>13014</v>
      </c>
      <c r="N140" s="20">
        <f t="shared" si="4"/>
        <v>8.04</v>
      </c>
    </row>
    <row r="141" customHeight="1" spans="1:14">
      <c r="A141" s="15" t="s">
        <v>173</v>
      </c>
      <c r="B141" s="16">
        <v>46032</v>
      </c>
      <c r="C141" s="17" t="s">
        <v>15</v>
      </c>
      <c r="D141" s="17" t="s">
        <v>25</v>
      </c>
      <c r="E141" s="17" t="s">
        <v>32</v>
      </c>
      <c r="F141" s="17" t="s">
        <v>18</v>
      </c>
      <c r="G141" s="17">
        <v>4</v>
      </c>
      <c r="H141" s="17">
        <v>23179</v>
      </c>
      <c r="I141" s="17">
        <v>92716</v>
      </c>
      <c r="J141" s="17">
        <v>73808</v>
      </c>
      <c r="K141" s="17">
        <v>18908</v>
      </c>
      <c r="L141" s="17">
        <v>4.6</v>
      </c>
      <c r="M141" s="19">
        <v>16408</v>
      </c>
      <c r="N141" s="20">
        <f t="shared" si="4"/>
        <v>5.78</v>
      </c>
    </row>
    <row r="142" customHeight="1" spans="1:14">
      <c r="A142" s="15" t="s">
        <v>174</v>
      </c>
      <c r="B142" s="16">
        <v>46162</v>
      </c>
      <c r="C142" s="17" t="s">
        <v>37</v>
      </c>
      <c r="D142" s="17" t="s">
        <v>48</v>
      </c>
      <c r="E142" s="17" t="s">
        <v>21</v>
      </c>
      <c r="F142" s="17" t="s">
        <v>22</v>
      </c>
      <c r="G142" s="17">
        <v>3</v>
      </c>
      <c r="H142" s="17">
        <v>11745</v>
      </c>
      <c r="I142" s="17">
        <v>35235</v>
      </c>
      <c r="J142" s="17">
        <v>21999</v>
      </c>
      <c r="K142" s="17">
        <v>13236</v>
      </c>
      <c r="L142" s="17">
        <v>4.7</v>
      </c>
      <c r="M142" s="19">
        <v>18973</v>
      </c>
      <c r="N142" s="20">
        <f t="shared" si="4"/>
        <v>7.53</v>
      </c>
    </row>
    <row r="143" customHeight="1" spans="1:14">
      <c r="A143" s="15" t="s">
        <v>175</v>
      </c>
      <c r="B143" s="16">
        <v>46178</v>
      </c>
      <c r="C143" s="17" t="s">
        <v>28</v>
      </c>
      <c r="D143" s="17" t="s">
        <v>48</v>
      </c>
      <c r="E143" s="17" t="s">
        <v>54</v>
      </c>
      <c r="F143" s="17" t="s">
        <v>22</v>
      </c>
      <c r="G143" s="17">
        <v>20</v>
      </c>
      <c r="H143" s="17">
        <v>5944</v>
      </c>
      <c r="I143" s="17">
        <v>118880</v>
      </c>
      <c r="J143" s="17">
        <v>68500</v>
      </c>
      <c r="K143" s="17">
        <v>50380</v>
      </c>
      <c r="L143" s="17">
        <v>2.6</v>
      </c>
      <c r="M143" s="19">
        <v>11531</v>
      </c>
      <c r="N143" s="20">
        <f t="shared" si="4"/>
        <v>4.51</v>
      </c>
    </row>
    <row r="144" customHeight="1" spans="1:14">
      <c r="A144" s="15" t="s">
        <v>176</v>
      </c>
      <c r="B144" s="16">
        <v>46155</v>
      </c>
      <c r="C144" s="17" t="s">
        <v>24</v>
      </c>
      <c r="D144" s="17" t="s">
        <v>40</v>
      </c>
      <c r="E144" s="17" t="s">
        <v>54</v>
      </c>
      <c r="F144" s="17" t="s">
        <v>22</v>
      </c>
      <c r="G144" s="17">
        <v>3</v>
      </c>
      <c r="H144" s="17">
        <v>6137</v>
      </c>
      <c r="I144" s="17">
        <v>18411</v>
      </c>
      <c r="J144" s="17">
        <v>7641</v>
      </c>
      <c r="K144" s="17">
        <v>10770</v>
      </c>
      <c r="L144" s="17">
        <v>3.1</v>
      </c>
      <c r="M144" s="19">
        <v>17724</v>
      </c>
      <c r="N144" s="20">
        <f t="shared" si="4"/>
        <v>7.47</v>
      </c>
    </row>
    <row r="145" customHeight="1" spans="1:14">
      <c r="A145" s="15" t="s">
        <v>177</v>
      </c>
      <c r="B145" s="16">
        <v>46055</v>
      </c>
      <c r="C145" s="17" t="s">
        <v>24</v>
      </c>
      <c r="D145" s="17" t="s">
        <v>48</v>
      </c>
      <c r="E145" s="17" t="s">
        <v>32</v>
      </c>
      <c r="F145" s="17" t="s">
        <v>18</v>
      </c>
      <c r="G145" s="17">
        <v>4</v>
      </c>
      <c r="H145" s="17">
        <v>26854</v>
      </c>
      <c r="I145" s="17">
        <v>107416</v>
      </c>
      <c r="J145" s="17">
        <v>72148</v>
      </c>
      <c r="K145" s="17">
        <v>35268</v>
      </c>
      <c r="L145" s="17">
        <v>2.8</v>
      </c>
      <c r="M145" s="19">
        <v>5585</v>
      </c>
      <c r="N145" s="20">
        <f t="shared" si="4"/>
        <v>4.17</v>
      </c>
    </row>
    <row r="146" customHeight="1" spans="1:14">
      <c r="A146" s="15" t="s">
        <v>178</v>
      </c>
      <c r="B146" s="16">
        <v>46055</v>
      </c>
      <c r="C146" s="17" t="s">
        <v>37</v>
      </c>
      <c r="D146" s="17" t="s">
        <v>52</v>
      </c>
      <c r="E146" s="17" t="s">
        <v>54</v>
      </c>
      <c r="F146" s="17" t="s">
        <v>22</v>
      </c>
      <c r="G146" s="17">
        <v>15</v>
      </c>
      <c r="H146" s="17">
        <v>4077</v>
      </c>
      <c r="I146" s="17">
        <v>61155</v>
      </c>
      <c r="J146" s="17">
        <v>39795</v>
      </c>
      <c r="K146" s="17">
        <v>21360</v>
      </c>
      <c r="L146" s="17">
        <v>3</v>
      </c>
      <c r="M146" s="19">
        <v>9635</v>
      </c>
      <c r="N146" s="20">
        <f t="shared" si="4"/>
        <v>4.61</v>
      </c>
    </row>
    <row r="147" customHeight="1" spans="1:14">
      <c r="A147" s="15" t="s">
        <v>179</v>
      </c>
      <c r="B147" s="16">
        <v>46189</v>
      </c>
      <c r="C147" s="17" t="s">
        <v>28</v>
      </c>
      <c r="D147" s="17" t="s">
        <v>16</v>
      </c>
      <c r="E147" s="17" t="s">
        <v>32</v>
      </c>
      <c r="F147" s="17" t="s">
        <v>18</v>
      </c>
      <c r="G147" s="17">
        <v>4</v>
      </c>
      <c r="H147" s="17">
        <v>24991</v>
      </c>
      <c r="I147" s="17">
        <v>99964</v>
      </c>
      <c r="J147" s="17">
        <v>74184</v>
      </c>
      <c r="K147" s="17">
        <v>25780</v>
      </c>
      <c r="L147" s="17">
        <v>4.3</v>
      </c>
      <c r="M147" s="19">
        <v>14284</v>
      </c>
      <c r="N147" s="20">
        <f t="shared" si="4"/>
        <v>5.79</v>
      </c>
    </row>
    <row r="148" customHeight="1" spans="1:14">
      <c r="A148" s="15" t="s">
        <v>180</v>
      </c>
      <c r="B148" s="16">
        <v>46113</v>
      </c>
      <c r="C148" s="17" t="s">
        <v>37</v>
      </c>
      <c r="D148" s="17" t="s">
        <v>40</v>
      </c>
      <c r="E148" s="17" t="s">
        <v>21</v>
      </c>
      <c r="F148" s="17" t="s">
        <v>22</v>
      </c>
      <c r="G148" s="17">
        <v>3</v>
      </c>
      <c r="H148" s="17">
        <v>10168</v>
      </c>
      <c r="I148" s="17">
        <v>30504</v>
      </c>
      <c r="J148" s="17">
        <v>18450</v>
      </c>
      <c r="K148" s="17">
        <v>12054</v>
      </c>
      <c r="L148" s="17">
        <v>3</v>
      </c>
      <c r="M148" s="19">
        <v>17607</v>
      </c>
      <c r="N148" s="20">
        <f t="shared" si="4"/>
        <v>4.96</v>
      </c>
    </row>
    <row r="149" customHeight="1" spans="1:14">
      <c r="A149" s="15" t="s">
        <v>181</v>
      </c>
      <c r="B149" s="16">
        <v>46108</v>
      </c>
      <c r="C149" s="17" t="s">
        <v>15</v>
      </c>
      <c r="D149" s="17" t="s">
        <v>16</v>
      </c>
      <c r="E149" s="17" t="s">
        <v>21</v>
      </c>
      <c r="F149" s="17" t="s">
        <v>22</v>
      </c>
      <c r="G149" s="17">
        <v>18</v>
      </c>
      <c r="H149" s="17">
        <v>8785</v>
      </c>
      <c r="I149" s="17">
        <v>158130</v>
      </c>
      <c r="J149" s="17">
        <v>123588</v>
      </c>
      <c r="K149" s="17">
        <v>34542</v>
      </c>
      <c r="L149" s="17">
        <v>4.6</v>
      </c>
      <c r="M149" s="19">
        <v>14668</v>
      </c>
      <c r="N149" s="20">
        <f t="shared" si="4"/>
        <v>5.89</v>
      </c>
    </row>
    <row r="150" customHeight="1" spans="1:14">
      <c r="A150" s="15" t="s">
        <v>182</v>
      </c>
      <c r="B150" s="16">
        <v>46141</v>
      </c>
      <c r="C150" s="17" t="s">
        <v>24</v>
      </c>
      <c r="D150" s="17" t="s">
        <v>16</v>
      </c>
      <c r="E150" s="17" t="s">
        <v>32</v>
      </c>
      <c r="F150" s="17" t="s">
        <v>18</v>
      </c>
      <c r="G150" s="17">
        <v>14</v>
      </c>
      <c r="H150" s="17">
        <v>26189</v>
      </c>
      <c r="I150" s="17">
        <v>366646</v>
      </c>
      <c r="J150" s="17">
        <v>242312</v>
      </c>
      <c r="K150" s="17">
        <v>124334</v>
      </c>
      <c r="L150" s="17">
        <v>3.8</v>
      </c>
      <c r="M150" s="19">
        <v>10473</v>
      </c>
      <c r="N150" s="20">
        <f t="shared" si="4"/>
        <v>5.75</v>
      </c>
    </row>
    <row r="151" customHeight="1" spans="1:14">
      <c r="A151" s="15" t="s">
        <v>183</v>
      </c>
      <c r="B151" s="16">
        <v>46029</v>
      </c>
      <c r="C151" s="17" t="s">
        <v>15</v>
      </c>
      <c r="D151" s="17" t="s">
        <v>52</v>
      </c>
      <c r="E151" s="17" t="s">
        <v>26</v>
      </c>
      <c r="F151" s="17" t="s">
        <v>18</v>
      </c>
      <c r="G151" s="17">
        <v>4</v>
      </c>
      <c r="H151" s="17">
        <v>19954</v>
      </c>
      <c r="I151" s="17">
        <v>79816</v>
      </c>
      <c r="J151" s="17">
        <v>48144</v>
      </c>
      <c r="K151" s="17">
        <v>31672</v>
      </c>
      <c r="L151" s="17">
        <v>2.9</v>
      </c>
      <c r="M151" s="19">
        <v>16057</v>
      </c>
      <c r="N151" s="20">
        <f t="shared" si="4"/>
        <v>4.81</v>
      </c>
    </row>
    <row r="152" customHeight="1" spans="1:14">
      <c r="A152" s="15" t="s">
        <v>184</v>
      </c>
      <c r="B152" s="16">
        <v>46061</v>
      </c>
      <c r="C152" s="17" t="s">
        <v>15</v>
      </c>
      <c r="D152" s="17" t="s">
        <v>16</v>
      </c>
      <c r="E152" s="17" t="s">
        <v>17</v>
      </c>
      <c r="F152" s="17" t="s">
        <v>18</v>
      </c>
      <c r="G152" s="17">
        <v>10</v>
      </c>
      <c r="H152" s="17">
        <v>50862</v>
      </c>
      <c r="I152" s="17">
        <v>508620</v>
      </c>
      <c r="J152" s="17">
        <v>341240</v>
      </c>
      <c r="K152" s="17">
        <v>167380</v>
      </c>
      <c r="L152" s="17">
        <v>3.4</v>
      </c>
      <c r="M152" s="19">
        <v>14849</v>
      </c>
      <c r="N152" s="20">
        <f t="shared" si="4"/>
        <v>5.07</v>
      </c>
    </row>
    <row r="153" customHeight="1" spans="1:14">
      <c r="A153" s="15" t="s">
        <v>185</v>
      </c>
      <c r="B153" s="16">
        <v>46051</v>
      </c>
      <c r="C153" s="17" t="s">
        <v>28</v>
      </c>
      <c r="D153" s="17" t="s">
        <v>48</v>
      </c>
      <c r="E153" s="17" t="s">
        <v>29</v>
      </c>
      <c r="F153" s="17" t="s">
        <v>18</v>
      </c>
      <c r="G153" s="17">
        <v>8</v>
      </c>
      <c r="H153" s="17">
        <v>13856</v>
      </c>
      <c r="I153" s="17">
        <v>110848</v>
      </c>
      <c r="J153" s="17">
        <v>58368</v>
      </c>
      <c r="K153" s="17">
        <v>52480</v>
      </c>
      <c r="L153" s="17">
        <v>3.2</v>
      </c>
      <c r="M153" s="19">
        <v>15144</v>
      </c>
      <c r="N153" s="20">
        <f t="shared" si="4"/>
        <v>6.08</v>
      </c>
    </row>
    <row r="154" customHeight="1" spans="1:14">
      <c r="A154" s="15" t="s">
        <v>186</v>
      </c>
      <c r="B154" s="16">
        <v>46159</v>
      </c>
      <c r="C154" s="17" t="s">
        <v>37</v>
      </c>
      <c r="D154" s="17" t="s">
        <v>52</v>
      </c>
      <c r="E154" s="17" t="s">
        <v>32</v>
      </c>
      <c r="F154" s="17" t="s">
        <v>18</v>
      </c>
      <c r="G154" s="17">
        <v>10</v>
      </c>
      <c r="H154" s="17">
        <v>23346</v>
      </c>
      <c r="I154" s="17">
        <v>233460</v>
      </c>
      <c r="J154" s="17">
        <v>179260</v>
      </c>
      <c r="K154" s="17">
        <v>54200</v>
      </c>
      <c r="L154" s="17">
        <v>4.4</v>
      </c>
      <c r="M154" s="19">
        <v>9647</v>
      </c>
      <c r="N154" s="20">
        <f t="shared" si="4"/>
        <v>5.73</v>
      </c>
    </row>
    <row r="155" customHeight="1" spans="1:14">
      <c r="A155" s="15" t="s">
        <v>187</v>
      </c>
      <c r="B155" s="16">
        <v>46104</v>
      </c>
      <c r="C155" s="17" t="s">
        <v>28</v>
      </c>
      <c r="D155" s="17" t="s">
        <v>42</v>
      </c>
      <c r="E155" s="17" t="s">
        <v>54</v>
      </c>
      <c r="F155" s="17" t="s">
        <v>22</v>
      </c>
      <c r="G155" s="17">
        <v>17</v>
      </c>
      <c r="H155" s="17">
        <v>4071</v>
      </c>
      <c r="I155" s="17">
        <v>69207</v>
      </c>
      <c r="J155" s="17">
        <v>58327</v>
      </c>
      <c r="K155" s="17">
        <v>10880</v>
      </c>
      <c r="L155" s="17">
        <v>3.3</v>
      </c>
      <c r="M155" s="19">
        <v>14678</v>
      </c>
      <c r="N155" s="20">
        <f t="shared" si="4"/>
        <v>3.92</v>
      </c>
    </row>
    <row r="156" customHeight="1" spans="1:14">
      <c r="A156" s="15" t="s">
        <v>188</v>
      </c>
      <c r="B156" s="16">
        <v>46121</v>
      </c>
      <c r="C156" s="17" t="s">
        <v>15</v>
      </c>
      <c r="D156" s="17" t="s">
        <v>20</v>
      </c>
      <c r="E156" s="17" t="s">
        <v>21</v>
      </c>
      <c r="F156" s="17" t="s">
        <v>22</v>
      </c>
      <c r="G156" s="17">
        <v>18</v>
      </c>
      <c r="H156" s="17">
        <v>9327</v>
      </c>
      <c r="I156" s="17">
        <v>167886</v>
      </c>
      <c r="J156" s="17">
        <v>127008</v>
      </c>
      <c r="K156" s="17">
        <v>40878</v>
      </c>
      <c r="L156" s="17">
        <v>2.7</v>
      </c>
      <c r="M156" s="19">
        <v>6812</v>
      </c>
      <c r="N156" s="20">
        <f t="shared" si="4"/>
        <v>3.57</v>
      </c>
    </row>
    <row r="157" customHeight="1" spans="1:14">
      <c r="A157" s="15" t="s">
        <v>189</v>
      </c>
      <c r="B157" s="16">
        <v>46085</v>
      </c>
      <c r="C157" s="17" t="s">
        <v>37</v>
      </c>
      <c r="D157" s="17" t="s">
        <v>16</v>
      </c>
      <c r="E157" s="17" t="s">
        <v>54</v>
      </c>
      <c r="F157" s="17" t="s">
        <v>22</v>
      </c>
      <c r="G157" s="17">
        <v>8</v>
      </c>
      <c r="H157" s="17">
        <v>3246</v>
      </c>
      <c r="I157" s="17">
        <v>25968</v>
      </c>
      <c r="J157" s="17">
        <v>28248</v>
      </c>
      <c r="K157" s="17">
        <v>-2280</v>
      </c>
      <c r="L157" s="17">
        <v>3.9</v>
      </c>
      <c r="M157" s="19">
        <v>19605</v>
      </c>
      <c r="N157" s="20">
        <f t="shared" si="4"/>
        <v>3.59</v>
      </c>
    </row>
    <row r="158" customHeight="1" spans="1:14">
      <c r="A158" s="15" t="s">
        <v>190</v>
      </c>
      <c r="B158" s="16">
        <v>46054</v>
      </c>
      <c r="C158" s="17" t="s">
        <v>24</v>
      </c>
      <c r="D158" s="17" t="s">
        <v>42</v>
      </c>
      <c r="E158" s="17" t="s">
        <v>32</v>
      </c>
      <c r="F158" s="17" t="s">
        <v>18</v>
      </c>
      <c r="G158" s="17">
        <v>20</v>
      </c>
      <c r="H158" s="17">
        <v>26957</v>
      </c>
      <c r="I158" s="17">
        <v>539140</v>
      </c>
      <c r="J158" s="17">
        <v>366820</v>
      </c>
      <c r="K158" s="17">
        <v>172320</v>
      </c>
      <c r="L158" s="17">
        <v>2.8</v>
      </c>
      <c r="M158" s="19">
        <v>17392</v>
      </c>
      <c r="N158" s="20">
        <f t="shared" si="4"/>
        <v>4.12</v>
      </c>
    </row>
    <row r="159" customHeight="1" spans="1:14">
      <c r="A159" s="15" t="s">
        <v>191</v>
      </c>
      <c r="B159" s="16">
        <v>46100</v>
      </c>
      <c r="C159" s="17" t="s">
        <v>24</v>
      </c>
      <c r="D159" s="17" t="s">
        <v>16</v>
      </c>
      <c r="E159" s="17" t="s">
        <v>29</v>
      </c>
      <c r="F159" s="17" t="s">
        <v>18</v>
      </c>
      <c r="G159" s="17">
        <v>7</v>
      </c>
      <c r="H159" s="17">
        <v>13424</v>
      </c>
      <c r="I159" s="17">
        <v>93968</v>
      </c>
      <c r="J159" s="17">
        <v>58184</v>
      </c>
      <c r="K159" s="17">
        <v>35784</v>
      </c>
      <c r="L159" s="17">
        <v>4.6</v>
      </c>
      <c r="M159" s="19">
        <v>10048</v>
      </c>
      <c r="N159" s="20">
        <f t="shared" si="4"/>
        <v>7.43</v>
      </c>
    </row>
    <row r="160" customHeight="1" spans="1:14">
      <c r="A160" s="15" t="s">
        <v>192</v>
      </c>
      <c r="B160" s="16">
        <v>46203</v>
      </c>
      <c r="C160" s="17" t="s">
        <v>24</v>
      </c>
      <c r="D160" s="17" t="s">
        <v>25</v>
      </c>
      <c r="E160" s="17" t="s">
        <v>26</v>
      </c>
      <c r="F160" s="17" t="s">
        <v>18</v>
      </c>
      <c r="G160" s="17">
        <v>19</v>
      </c>
      <c r="H160" s="17">
        <v>20307</v>
      </c>
      <c r="I160" s="17">
        <v>385833</v>
      </c>
      <c r="J160" s="17">
        <v>243181</v>
      </c>
      <c r="K160" s="17">
        <v>142652</v>
      </c>
      <c r="L160" s="17">
        <v>3.7</v>
      </c>
      <c r="M160" s="19">
        <v>18550</v>
      </c>
      <c r="N160" s="20">
        <f t="shared" si="4"/>
        <v>5.87</v>
      </c>
    </row>
    <row r="161" customHeight="1" spans="1:14">
      <c r="A161" s="15" t="s">
        <v>193</v>
      </c>
      <c r="B161" s="16">
        <v>46173</v>
      </c>
      <c r="C161" s="17" t="s">
        <v>24</v>
      </c>
      <c r="D161" s="17" t="s">
        <v>48</v>
      </c>
      <c r="E161" s="17" t="s">
        <v>26</v>
      </c>
      <c r="F161" s="17" t="s">
        <v>18</v>
      </c>
      <c r="G161" s="17">
        <v>1</v>
      </c>
      <c r="H161" s="17">
        <v>18616</v>
      </c>
      <c r="I161" s="17">
        <v>18616</v>
      </c>
      <c r="J161" s="17">
        <v>12553</v>
      </c>
      <c r="K161" s="17">
        <v>6063</v>
      </c>
      <c r="L161" s="17">
        <v>3.4</v>
      </c>
      <c r="M161" s="19">
        <v>6635</v>
      </c>
      <c r="N161" s="20">
        <f t="shared" si="4"/>
        <v>5.04</v>
      </c>
    </row>
    <row r="162" customHeight="1" spans="1:14">
      <c r="A162" s="15" t="s">
        <v>194</v>
      </c>
      <c r="B162" s="16">
        <v>46166</v>
      </c>
      <c r="C162" s="17" t="s">
        <v>37</v>
      </c>
      <c r="D162" s="17" t="s">
        <v>35</v>
      </c>
      <c r="E162" s="17" t="s">
        <v>26</v>
      </c>
      <c r="F162" s="17" t="s">
        <v>18</v>
      </c>
      <c r="G162" s="17">
        <v>10</v>
      </c>
      <c r="H162" s="17">
        <v>18776</v>
      </c>
      <c r="I162" s="17">
        <v>187760</v>
      </c>
      <c r="J162" s="17">
        <v>123210</v>
      </c>
      <c r="K162" s="17">
        <v>64550</v>
      </c>
      <c r="L162" s="17">
        <v>2.7</v>
      </c>
      <c r="M162" s="19">
        <v>15157</v>
      </c>
      <c r="N162" s="20">
        <f t="shared" si="4"/>
        <v>4.11</v>
      </c>
    </row>
    <row r="163" customHeight="1" spans="1:14">
      <c r="A163" s="15" t="s">
        <v>195</v>
      </c>
      <c r="B163" s="16">
        <v>46199</v>
      </c>
      <c r="C163" s="17" t="s">
        <v>28</v>
      </c>
      <c r="D163" s="17" t="s">
        <v>42</v>
      </c>
      <c r="E163" s="17" t="s">
        <v>21</v>
      </c>
      <c r="F163" s="17" t="s">
        <v>22</v>
      </c>
      <c r="G163" s="17">
        <v>8</v>
      </c>
      <c r="H163" s="17">
        <v>9773</v>
      </c>
      <c r="I163" s="17">
        <v>78184</v>
      </c>
      <c r="J163" s="17">
        <v>59464</v>
      </c>
      <c r="K163" s="17">
        <v>18720</v>
      </c>
      <c r="L163" s="17">
        <v>3</v>
      </c>
      <c r="M163" s="19">
        <v>17138</v>
      </c>
      <c r="N163" s="20">
        <f t="shared" ref="N163:N194" si="5">ROUND(I163/J163*L163,2)</f>
        <v>3.94</v>
      </c>
    </row>
    <row r="164" customHeight="1" spans="1:14">
      <c r="A164" s="15" t="s">
        <v>196</v>
      </c>
      <c r="B164" s="16">
        <v>46196</v>
      </c>
      <c r="C164" s="17" t="s">
        <v>28</v>
      </c>
      <c r="D164" s="17" t="s">
        <v>25</v>
      </c>
      <c r="E164" s="17" t="s">
        <v>26</v>
      </c>
      <c r="F164" s="17" t="s">
        <v>18</v>
      </c>
      <c r="G164" s="17">
        <v>12</v>
      </c>
      <c r="H164" s="17">
        <v>19453</v>
      </c>
      <c r="I164" s="17">
        <v>233436</v>
      </c>
      <c r="J164" s="17">
        <v>155064</v>
      </c>
      <c r="K164" s="17">
        <v>78372</v>
      </c>
      <c r="L164" s="17">
        <v>4.7</v>
      </c>
      <c r="M164" s="19">
        <v>19224</v>
      </c>
      <c r="N164" s="20">
        <f t="shared" si="5"/>
        <v>7.08</v>
      </c>
    </row>
    <row r="165" customHeight="1" spans="1:14">
      <c r="A165" s="15" t="s">
        <v>197</v>
      </c>
      <c r="B165" s="16">
        <v>46044</v>
      </c>
      <c r="C165" s="17" t="s">
        <v>37</v>
      </c>
      <c r="D165" s="17" t="s">
        <v>48</v>
      </c>
      <c r="E165" s="17" t="s">
        <v>17</v>
      </c>
      <c r="F165" s="17" t="s">
        <v>18</v>
      </c>
      <c r="G165" s="17">
        <v>16</v>
      </c>
      <c r="H165" s="17">
        <v>50517</v>
      </c>
      <c r="I165" s="17">
        <v>808272</v>
      </c>
      <c r="J165" s="17">
        <v>575344</v>
      </c>
      <c r="K165" s="17">
        <v>232928</v>
      </c>
      <c r="L165" s="17">
        <v>2.7</v>
      </c>
      <c r="M165" s="19">
        <v>16831</v>
      </c>
      <c r="N165" s="20">
        <f t="shared" si="5"/>
        <v>3.79</v>
      </c>
    </row>
    <row r="166" customHeight="1" spans="1:14">
      <c r="A166" s="15" t="s">
        <v>198</v>
      </c>
      <c r="B166" s="16">
        <v>46120</v>
      </c>
      <c r="C166" s="17" t="s">
        <v>28</v>
      </c>
      <c r="D166" s="17" t="s">
        <v>25</v>
      </c>
      <c r="E166" s="17" t="s">
        <v>32</v>
      </c>
      <c r="F166" s="17" t="s">
        <v>18</v>
      </c>
      <c r="G166" s="17">
        <v>6</v>
      </c>
      <c r="H166" s="17">
        <v>24243</v>
      </c>
      <c r="I166" s="17">
        <v>145458</v>
      </c>
      <c r="J166" s="17">
        <v>108198</v>
      </c>
      <c r="K166" s="17">
        <v>37260</v>
      </c>
      <c r="L166" s="17">
        <v>3.7</v>
      </c>
      <c r="M166" s="19">
        <v>13239</v>
      </c>
      <c r="N166" s="20">
        <f t="shared" si="5"/>
        <v>4.97</v>
      </c>
    </row>
    <row r="167" customHeight="1" spans="1:14">
      <c r="A167" s="15" t="s">
        <v>199</v>
      </c>
      <c r="B167" s="16">
        <v>46150</v>
      </c>
      <c r="C167" s="17" t="s">
        <v>28</v>
      </c>
      <c r="D167" s="17" t="s">
        <v>40</v>
      </c>
      <c r="E167" s="17" t="s">
        <v>26</v>
      </c>
      <c r="F167" s="17" t="s">
        <v>18</v>
      </c>
      <c r="G167" s="17">
        <v>19</v>
      </c>
      <c r="H167" s="17">
        <v>18141</v>
      </c>
      <c r="I167" s="17">
        <v>344679</v>
      </c>
      <c r="J167" s="17">
        <v>237025</v>
      </c>
      <c r="K167" s="17">
        <v>107654</v>
      </c>
      <c r="L167" s="17">
        <v>2.8</v>
      </c>
      <c r="M167" s="19">
        <v>8999</v>
      </c>
      <c r="N167" s="20">
        <f t="shared" si="5"/>
        <v>4.07</v>
      </c>
    </row>
    <row r="168" customHeight="1" spans="1:14">
      <c r="A168" s="15" t="s">
        <v>200</v>
      </c>
      <c r="B168" s="16">
        <v>46041</v>
      </c>
      <c r="C168" s="17" t="s">
        <v>28</v>
      </c>
      <c r="D168" s="17" t="s">
        <v>25</v>
      </c>
      <c r="E168" s="17" t="s">
        <v>32</v>
      </c>
      <c r="F168" s="17" t="s">
        <v>18</v>
      </c>
      <c r="G168" s="17">
        <v>10</v>
      </c>
      <c r="H168" s="17">
        <v>25160</v>
      </c>
      <c r="I168" s="17">
        <v>251600</v>
      </c>
      <c r="J168" s="17">
        <v>188190</v>
      </c>
      <c r="K168" s="17">
        <v>63410</v>
      </c>
      <c r="L168" s="17">
        <v>4.1</v>
      </c>
      <c r="M168" s="19">
        <v>16925</v>
      </c>
      <c r="N168" s="20">
        <f t="shared" si="5"/>
        <v>5.48</v>
      </c>
    </row>
    <row r="169" customHeight="1" spans="1:14">
      <c r="A169" s="15" t="s">
        <v>201</v>
      </c>
      <c r="B169" s="16">
        <v>46162</v>
      </c>
      <c r="C169" s="17" t="s">
        <v>28</v>
      </c>
      <c r="D169" s="17" t="s">
        <v>35</v>
      </c>
      <c r="E169" s="17" t="s">
        <v>26</v>
      </c>
      <c r="F169" s="17" t="s">
        <v>18</v>
      </c>
      <c r="G169" s="17">
        <v>14</v>
      </c>
      <c r="H169" s="17">
        <v>16079</v>
      </c>
      <c r="I169" s="17">
        <v>225106</v>
      </c>
      <c r="J169" s="17">
        <v>180166</v>
      </c>
      <c r="K169" s="17">
        <v>44940</v>
      </c>
      <c r="L169" s="17">
        <v>2.5</v>
      </c>
      <c r="M169" s="19">
        <v>12713</v>
      </c>
      <c r="N169" s="20">
        <f t="shared" si="5"/>
        <v>3.12</v>
      </c>
    </row>
    <row r="170" customHeight="1" spans="1:14">
      <c r="A170" s="15" t="s">
        <v>202</v>
      </c>
      <c r="B170" s="16">
        <v>46116</v>
      </c>
      <c r="C170" s="17" t="s">
        <v>28</v>
      </c>
      <c r="D170" s="17" t="s">
        <v>52</v>
      </c>
      <c r="E170" s="17" t="s">
        <v>21</v>
      </c>
      <c r="F170" s="17" t="s">
        <v>22</v>
      </c>
      <c r="G170" s="17">
        <v>8</v>
      </c>
      <c r="H170" s="17">
        <v>8639</v>
      </c>
      <c r="I170" s="17">
        <v>69112</v>
      </c>
      <c r="J170" s="17">
        <v>46656</v>
      </c>
      <c r="K170" s="17">
        <v>22456</v>
      </c>
      <c r="L170" s="17">
        <v>4.1</v>
      </c>
      <c r="M170" s="19">
        <v>17649</v>
      </c>
      <c r="N170" s="20">
        <f t="shared" si="5"/>
        <v>6.07</v>
      </c>
    </row>
    <row r="171" customHeight="1" spans="1:14">
      <c r="A171" s="15" t="s">
        <v>203</v>
      </c>
      <c r="B171" s="16">
        <v>46046</v>
      </c>
      <c r="C171" s="17" t="s">
        <v>15</v>
      </c>
      <c r="D171" s="17" t="s">
        <v>25</v>
      </c>
      <c r="E171" s="17" t="s">
        <v>17</v>
      </c>
      <c r="F171" s="17" t="s">
        <v>18</v>
      </c>
      <c r="G171" s="17">
        <v>9</v>
      </c>
      <c r="H171" s="17">
        <v>52598</v>
      </c>
      <c r="I171" s="17">
        <v>473382</v>
      </c>
      <c r="J171" s="17">
        <v>312579</v>
      </c>
      <c r="K171" s="17">
        <v>160803</v>
      </c>
      <c r="L171" s="17">
        <v>4.4</v>
      </c>
      <c r="M171" s="19">
        <v>7987</v>
      </c>
      <c r="N171" s="20">
        <f t="shared" si="5"/>
        <v>6.66</v>
      </c>
    </row>
    <row r="172" customHeight="1" spans="1:14">
      <c r="A172" s="15" t="s">
        <v>204</v>
      </c>
      <c r="B172" s="16">
        <v>46136</v>
      </c>
      <c r="C172" s="17" t="s">
        <v>28</v>
      </c>
      <c r="D172" s="17" t="s">
        <v>16</v>
      </c>
      <c r="E172" s="17" t="s">
        <v>29</v>
      </c>
      <c r="F172" s="17" t="s">
        <v>18</v>
      </c>
      <c r="G172" s="17">
        <v>12</v>
      </c>
      <c r="H172" s="17">
        <v>14054</v>
      </c>
      <c r="I172" s="17">
        <v>168648</v>
      </c>
      <c r="J172" s="17">
        <v>106332</v>
      </c>
      <c r="K172" s="17">
        <v>62316</v>
      </c>
      <c r="L172" s="17">
        <v>4.7</v>
      </c>
      <c r="M172" s="19">
        <v>19061</v>
      </c>
      <c r="N172" s="20">
        <f t="shared" si="5"/>
        <v>7.45</v>
      </c>
    </row>
    <row r="173" customHeight="1" spans="1:14">
      <c r="A173" s="15" t="s">
        <v>205</v>
      </c>
      <c r="B173" s="16">
        <v>46114</v>
      </c>
      <c r="C173" s="17" t="s">
        <v>28</v>
      </c>
      <c r="D173" s="17" t="s">
        <v>20</v>
      </c>
      <c r="E173" s="17" t="s">
        <v>26</v>
      </c>
      <c r="F173" s="17" t="s">
        <v>18</v>
      </c>
      <c r="G173" s="17">
        <v>1</v>
      </c>
      <c r="H173" s="17">
        <v>20846</v>
      </c>
      <c r="I173" s="17">
        <v>20846</v>
      </c>
      <c r="J173" s="17">
        <v>12496</v>
      </c>
      <c r="K173" s="17">
        <v>8350</v>
      </c>
      <c r="L173" s="17">
        <v>3.9</v>
      </c>
      <c r="M173" s="19">
        <v>15545</v>
      </c>
      <c r="N173" s="20">
        <f t="shared" si="5"/>
        <v>6.51</v>
      </c>
    </row>
    <row r="174" customHeight="1" spans="1:14">
      <c r="A174" s="15" t="s">
        <v>206</v>
      </c>
      <c r="B174" s="16">
        <v>46119</v>
      </c>
      <c r="C174" s="17" t="s">
        <v>28</v>
      </c>
      <c r="D174" s="17" t="s">
        <v>25</v>
      </c>
      <c r="E174" s="17" t="s">
        <v>54</v>
      </c>
      <c r="F174" s="17" t="s">
        <v>22</v>
      </c>
      <c r="G174" s="17">
        <v>12</v>
      </c>
      <c r="H174" s="17">
        <v>6174</v>
      </c>
      <c r="I174" s="17">
        <v>74088</v>
      </c>
      <c r="J174" s="17">
        <v>36084</v>
      </c>
      <c r="K174" s="17">
        <v>38004</v>
      </c>
      <c r="L174" s="17">
        <v>3.3</v>
      </c>
      <c r="M174" s="19">
        <v>17027</v>
      </c>
      <c r="N174" s="20">
        <f t="shared" si="5"/>
        <v>6.78</v>
      </c>
    </row>
    <row r="175" customHeight="1" spans="1:14">
      <c r="A175" s="15" t="s">
        <v>207</v>
      </c>
      <c r="B175" s="16">
        <v>46093</v>
      </c>
      <c r="C175" s="17" t="s">
        <v>28</v>
      </c>
      <c r="D175" s="17" t="s">
        <v>35</v>
      </c>
      <c r="E175" s="17" t="s">
        <v>26</v>
      </c>
      <c r="F175" s="17" t="s">
        <v>18</v>
      </c>
      <c r="G175" s="17">
        <v>16</v>
      </c>
      <c r="H175" s="17">
        <v>20646</v>
      </c>
      <c r="I175" s="17">
        <v>330336</v>
      </c>
      <c r="J175" s="17">
        <v>188784</v>
      </c>
      <c r="K175" s="17">
        <v>141552</v>
      </c>
      <c r="L175" s="17">
        <v>3.1</v>
      </c>
      <c r="M175" s="19">
        <v>16296</v>
      </c>
      <c r="N175" s="20">
        <f t="shared" si="5"/>
        <v>5.42</v>
      </c>
    </row>
    <row r="176" customHeight="1" spans="1:14">
      <c r="A176" s="15" t="s">
        <v>208</v>
      </c>
      <c r="B176" s="16">
        <v>46142</v>
      </c>
      <c r="C176" s="17" t="s">
        <v>28</v>
      </c>
      <c r="D176" s="17" t="s">
        <v>40</v>
      </c>
      <c r="E176" s="17" t="s">
        <v>17</v>
      </c>
      <c r="F176" s="17" t="s">
        <v>18</v>
      </c>
      <c r="G176" s="17">
        <v>2</v>
      </c>
      <c r="H176" s="17">
        <v>48707</v>
      </c>
      <c r="I176" s="17">
        <v>97414</v>
      </c>
      <c r="J176" s="17">
        <v>69440</v>
      </c>
      <c r="K176" s="17">
        <v>27974</v>
      </c>
      <c r="L176" s="17">
        <v>3.4</v>
      </c>
      <c r="M176" s="19">
        <v>5050</v>
      </c>
      <c r="N176" s="20">
        <f t="shared" si="5"/>
        <v>4.77</v>
      </c>
    </row>
    <row r="177" customHeight="1" spans="1:14">
      <c r="A177" s="15" t="s">
        <v>209</v>
      </c>
      <c r="B177" s="16">
        <v>46148</v>
      </c>
      <c r="C177" s="17" t="s">
        <v>28</v>
      </c>
      <c r="D177" s="17" t="s">
        <v>35</v>
      </c>
      <c r="E177" s="17" t="s">
        <v>21</v>
      </c>
      <c r="F177" s="17" t="s">
        <v>22</v>
      </c>
      <c r="G177" s="17">
        <v>8</v>
      </c>
      <c r="H177" s="17">
        <v>11649</v>
      </c>
      <c r="I177" s="17">
        <v>93192</v>
      </c>
      <c r="J177" s="17">
        <v>58840</v>
      </c>
      <c r="K177" s="17">
        <v>34352</v>
      </c>
      <c r="L177" s="17">
        <v>4.2</v>
      </c>
      <c r="M177" s="19">
        <v>5570</v>
      </c>
      <c r="N177" s="20">
        <f t="shared" si="5"/>
        <v>6.65</v>
      </c>
    </row>
    <row r="178" customHeight="1" spans="1:14">
      <c r="A178" s="15" t="s">
        <v>210</v>
      </c>
      <c r="B178" s="16">
        <v>46117</v>
      </c>
      <c r="C178" s="17" t="s">
        <v>15</v>
      </c>
      <c r="D178" s="17" t="s">
        <v>48</v>
      </c>
      <c r="E178" s="17" t="s">
        <v>54</v>
      </c>
      <c r="F178" s="17" t="s">
        <v>22</v>
      </c>
      <c r="G178" s="17">
        <v>16</v>
      </c>
      <c r="H178" s="17">
        <v>4365</v>
      </c>
      <c r="I178" s="17">
        <v>69840</v>
      </c>
      <c r="J178" s="17">
        <v>46192</v>
      </c>
      <c r="K178" s="17">
        <v>23648</v>
      </c>
      <c r="L178" s="17">
        <v>4.3</v>
      </c>
      <c r="M178" s="19">
        <v>14773</v>
      </c>
      <c r="N178" s="20">
        <f t="shared" si="5"/>
        <v>6.5</v>
      </c>
    </row>
    <row r="179" customHeight="1" spans="1:14">
      <c r="A179" s="15" t="s">
        <v>211</v>
      </c>
      <c r="B179" s="16">
        <v>46153</v>
      </c>
      <c r="C179" s="17" t="s">
        <v>28</v>
      </c>
      <c r="D179" s="17" t="s">
        <v>35</v>
      </c>
      <c r="E179" s="17" t="s">
        <v>32</v>
      </c>
      <c r="F179" s="17" t="s">
        <v>18</v>
      </c>
      <c r="G179" s="17">
        <v>8</v>
      </c>
      <c r="H179" s="17">
        <v>27741</v>
      </c>
      <c r="I179" s="17">
        <v>221928</v>
      </c>
      <c r="J179" s="17">
        <v>144336</v>
      </c>
      <c r="K179" s="17">
        <v>77592</v>
      </c>
      <c r="L179" s="17">
        <v>4.2</v>
      </c>
      <c r="M179" s="19">
        <v>18973</v>
      </c>
      <c r="N179" s="20">
        <f t="shared" si="5"/>
        <v>6.46</v>
      </c>
    </row>
    <row r="180" customHeight="1" spans="1:14">
      <c r="A180" s="15" t="s">
        <v>212</v>
      </c>
      <c r="B180" s="16">
        <v>46131</v>
      </c>
      <c r="C180" s="17" t="s">
        <v>37</v>
      </c>
      <c r="D180" s="17" t="s">
        <v>40</v>
      </c>
      <c r="E180" s="17" t="s">
        <v>32</v>
      </c>
      <c r="F180" s="17" t="s">
        <v>18</v>
      </c>
      <c r="G180" s="17">
        <v>8</v>
      </c>
      <c r="H180" s="17">
        <v>24962</v>
      </c>
      <c r="I180" s="17">
        <v>199696</v>
      </c>
      <c r="J180" s="17">
        <v>148608</v>
      </c>
      <c r="K180" s="17">
        <v>51088</v>
      </c>
      <c r="L180" s="17">
        <v>4.8</v>
      </c>
      <c r="M180" s="19">
        <v>5177</v>
      </c>
      <c r="N180" s="20">
        <f t="shared" si="5"/>
        <v>6.45</v>
      </c>
    </row>
    <row r="181" customHeight="1" spans="1:14">
      <c r="A181" s="15" t="s">
        <v>213</v>
      </c>
      <c r="B181" s="16">
        <v>46199</v>
      </c>
      <c r="C181" s="17" t="s">
        <v>37</v>
      </c>
      <c r="D181" s="17" t="s">
        <v>35</v>
      </c>
      <c r="E181" s="17" t="s">
        <v>17</v>
      </c>
      <c r="F181" s="17" t="s">
        <v>18</v>
      </c>
      <c r="G181" s="17">
        <v>1</v>
      </c>
      <c r="H181" s="17">
        <v>48824</v>
      </c>
      <c r="I181" s="17">
        <v>48824</v>
      </c>
      <c r="J181" s="17">
        <v>34555</v>
      </c>
      <c r="K181" s="17">
        <v>14269</v>
      </c>
      <c r="L181" s="17">
        <v>4.4</v>
      </c>
      <c r="M181" s="19">
        <v>6645</v>
      </c>
      <c r="N181" s="20">
        <f t="shared" si="5"/>
        <v>6.22</v>
      </c>
    </row>
    <row r="182" customHeight="1" spans="1:14">
      <c r="A182" s="15" t="s">
        <v>214</v>
      </c>
      <c r="B182" s="16">
        <v>46187</v>
      </c>
      <c r="C182" s="17" t="s">
        <v>15</v>
      </c>
      <c r="D182" s="17" t="s">
        <v>20</v>
      </c>
      <c r="E182" s="17" t="s">
        <v>29</v>
      </c>
      <c r="F182" s="17" t="s">
        <v>18</v>
      </c>
      <c r="G182" s="17">
        <v>4</v>
      </c>
      <c r="H182" s="17">
        <v>13305</v>
      </c>
      <c r="I182" s="17">
        <v>53220</v>
      </c>
      <c r="J182" s="17">
        <v>29148</v>
      </c>
      <c r="K182" s="17">
        <v>24072</v>
      </c>
      <c r="L182" s="17">
        <v>2.7</v>
      </c>
      <c r="M182" s="19">
        <v>19709</v>
      </c>
      <c r="N182" s="20">
        <f t="shared" si="5"/>
        <v>4.93</v>
      </c>
    </row>
    <row r="183" customHeight="1" spans="1:14">
      <c r="A183" s="15" t="s">
        <v>215</v>
      </c>
      <c r="B183" s="16">
        <v>46168</v>
      </c>
      <c r="C183" s="17" t="s">
        <v>28</v>
      </c>
      <c r="D183" s="17" t="s">
        <v>25</v>
      </c>
      <c r="E183" s="17" t="s">
        <v>21</v>
      </c>
      <c r="F183" s="17" t="s">
        <v>22</v>
      </c>
      <c r="G183" s="17">
        <v>15</v>
      </c>
      <c r="H183" s="17">
        <v>12370</v>
      </c>
      <c r="I183" s="17">
        <v>185550</v>
      </c>
      <c r="J183" s="17">
        <v>108330</v>
      </c>
      <c r="K183" s="17">
        <v>77220</v>
      </c>
      <c r="L183" s="17">
        <v>3.6</v>
      </c>
      <c r="M183" s="19">
        <v>7289</v>
      </c>
      <c r="N183" s="20">
        <f t="shared" si="5"/>
        <v>6.17</v>
      </c>
    </row>
    <row r="184" customHeight="1" spans="1:14">
      <c r="A184" s="15" t="s">
        <v>216</v>
      </c>
      <c r="B184" s="16">
        <v>46066</v>
      </c>
      <c r="C184" s="17" t="s">
        <v>15</v>
      </c>
      <c r="D184" s="17" t="s">
        <v>25</v>
      </c>
      <c r="E184" s="17" t="s">
        <v>21</v>
      </c>
      <c r="F184" s="17" t="s">
        <v>22</v>
      </c>
      <c r="G184" s="17">
        <v>7</v>
      </c>
      <c r="H184" s="17">
        <v>9218</v>
      </c>
      <c r="I184" s="17">
        <v>64526</v>
      </c>
      <c r="J184" s="17">
        <v>48566</v>
      </c>
      <c r="K184" s="17">
        <v>15960</v>
      </c>
      <c r="L184" s="17">
        <v>4.3</v>
      </c>
      <c r="M184" s="19">
        <v>5985</v>
      </c>
      <c r="N184" s="20">
        <f t="shared" si="5"/>
        <v>5.71</v>
      </c>
    </row>
    <row r="185" customHeight="1" spans="1:14">
      <c r="A185" s="15" t="s">
        <v>217</v>
      </c>
      <c r="B185" s="16">
        <v>46122</v>
      </c>
      <c r="C185" s="17" t="s">
        <v>28</v>
      </c>
      <c r="D185" s="17" t="s">
        <v>16</v>
      </c>
      <c r="E185" s="17" t="s">
        <v>32</v>
      </c>
      <c r="F185" s="17" t="s">
        <v>18</v>
      </c>
      <c r="G185" s="17">
        <v>14</v>
      </c>
      <c r="H185" s="17">
        <v>23743</v>
      </c>
      <c r="I185" s="17">
        <v>332402</v>
      </c>
      <c r="J185" s="17">
        <v>241906</v>
      </c>
      <c r="K185" s="17">
        <v>90496</v>
      </c>
      <c r="L185" s="17">
        <v>3.5</v>
      </c>
      <c r="M185" s="19">
        <v>6648</v>
      </c>
      <c r="N185" s="20">
        <f t="shared" si="5"/>
        <v>4.81</v>
      </c>
    </row>
    <row r="186" customHeight="1" spans="1:14">
      <c r="A186" s="15" t="s">
        <v>218</v>
      </c>
      <c r="B186" s="16">
        <v>46072</v>
      </c>
      <c r="C186" s="17" t="s">
        <v>15</v>
      </c>
      <c r="D186" s="17" t="s">
        <v>40</v>
      </c>
      <c r="E186" s="17" t="s">
        <v>29</v>
      </c>
      <c r="F186" s="17" t="s">
        <v>18</v>
      </c>
      <c r="G186" s="17">
        <v>2</v>
      </c>
      <c r="H186" s="17">
        <v>12358</v>
      </c>
      <c r="I186" s="17">
        <v>24716</v>
      </c>
      <c r="J186" s="17">
        <v>17768</v>
      </c>
      <c r="K186" s="17">
        <v>6948</v>
      </c>
      <c r="L186" s="17">
        <v>3.3</v>
      </c>
      <c r="M186" s="19">
        <v>12025</v>
      </c>
      <c r="N186" s="20">
        <f t="shared" si="5"/>
        <v>4.59</v>
      </c>
    </row>
    <row r="187" customHeight="1" spans="1:14">
      <c r="A187" s="15" t="s">
        <v>219</v>
      </c>
      <c r="B187" s="16">
        <v>46086</v>
      </c>
      <c r="C187" s="17" t="s">
        <v>15</v>
      </c>
      <c r="D187" s="17" t="s">
        <v>25</v>
      </c>
      <c r="E187" s="17" t="s">
        <v>26</v>
      </c>
      <c r="F187" s="17" t="s">
        <v>18</v>
      </c>
      <c r="G187" s="17">
        <v>14</v>
      </c>
      <c r="H187" s="17">
        <v>20323</v>
      </c>
      <c r="I187" s="17">
        <v>284522</v>
      </c>
      <c r="J187" s="17">
        <v>173782</v>
      </c>
      <c r="K187" s="17">
        <v>110740</v>
      </c>
      <c r="L187" s="17">
        <v>2.9</v>
      </c>
      <c r="M187" s="19">
        <v>15496</v>
      </c>
      <c r="N187" s="20">
        <f t="shared" si="5"/>
        <v>4.75</v>
      </c>
    </row>
    <row r="188" customHeight="1" spans="1:14">
      <c r="A188" s="15" t="s">
        <v>220</v>
      </c>
      <c r="B188" s="16">
        <v>46159</v>
      </c>
      <c r="C188" s="17" t="s">
        <v>24</v>
      </c>
      <c r="D188" s="17" t="s">
        <v>35</v>
      </c>
      <c r="E188" s="17" t="s">
        <v>54</v>
      </c>
      <c r="F188" s="17" t="s">
        <v>22</v>
      </c>
      <c r="G188" s="17">
        <v>3</v>
      </c>
      <c r="H188" s="17">
        <v>6283</v>
      </c>
      <c r="I188" s="17">
        <v>18849</v>
      </c>
      <c r="J188" s="17">
        <v>6996</v>
      </c>
      <c r="K188" s="17">
        <v>11853</v>
      </c>
      <c r="L188" s="17">
        <v>4.6</v>
      </c>
      <c r="M188" s="19">
        <v>7519</v>
      </c>
      <c r="N188" s="20">
        <f t="shared" si="5"/>
        <v>12.39</v>
      </c>
    </row>
    <row r="189" customHeight="1" spans="1:14">
      <c r="A189" s="15" t="s">
        <v>221</v>
      </c>
      <c r="B189" s="16">
        <v>46034</v>
      </c>
      <c r="C189" s="17" t="s">
        <v>15</v>
      </c>
      <c r="D189" s="17" t="s">
        <v>16</v>
      </c>
      <c r="E189" s="17" t="s">
        <v>29</v>
      </c>
      <c r="F189" s="17" t="s">
        <v>18</v>
      </c>
      <c r="G189" s="17">
        <v>12</v>
      </c>
      <c r="H189" s="17">
        <v>11647</v>
      </c>
      <c r="I189" s="17">
        <v>139764</v>
      </c>
      <c r="J189" s="17">
        <v>93324</v>
      </c>
      <c r="K189" s="17">
        <v>46440</v>
      </c>
      <c r="L189" s="17">
        <v>4.9</v>
      </c>
      <c r="M189" s="19">
        <v>7643</v>
      </c>
      <c r="N189" s="20">
        <f t="shared" si="5"/>
        <v>7.34</v>
      </c>
    </row>
    <row r="190" customHeight="1" spans="1:14">
      <c r="A190" s="15" t="s">
        <v>222</v>
      </c>
      <c r="B190" s="16">
        <v>46032</v>
      </c>
      <c r="C190" s="17" t="s">
        <v>24</v>
      </c>
      <c r="D190" s="17" t="s">
        <v>25</v>
      </c>
      <c r="E190" s="17" t="s">
        <v>26</v>
      </c>
      <c r="F190" s="17" t="s">
        <v>18</v>
      </c>
      <c r="G190" s="17">
        <v>2</v>
      </c>
      <c r="H190" s="17">
        <v>16523</v>
      </c>
      <c r="I190" s="17">
        <v>33046</v>
      </c>
      <c r="J190" s="17">
        <v>25176</v>
      </c>
      <c r="K190" s="17">
        <v>7870</v>
      </c>
      <c r="L190" s="17">
        <v>3.9</v>
      </c>
      <c r="M190" s="19">
        <v>6889</v>
      </c>
      <c r="N190" s="20">
        <f t="shared" si="5"/>
        <v>5.12</v>
      </c>
    </row>
    <row r="191" customHeight="1" spans="1:14">
      <c r="A191" s="15" t="s">
        <v>223</v>
      </c>
      <c r="B191" s="16">
        <v>46170</v>
      </c>
      <c r="C191" s="17" t="s">
        <v>15</v>
      </c>
      <c r="D191" s="17" t="s">
        <v>40</v>
      </c>
      <c r="E191" s="17" t="s">
        <v>26</v>
      </c>
      <c r="F191" s="17" t="s">
        <v>18</v>
      </c>
      <c r="G191" s="17">
        <v>5</v>
      </c>
      <c r="H191" s="17">
        <v>20337</v>
      </c>
      <c r="I191" s="17">
        <v>101685</v>
      </c>
      <c r="J191" s="17">
        <v>57385</v>
      </c>
      <c r="K191" s="17">
        <v>44300</v>
      </c>
      <c r="L191" s="17">
        <v>4.5</v>
      </c>
      <c r="M191" s="19">
        <v>9400</v>
      </c>
      <c r="N191" s="20">
        <f t="shared" si="5"/>
        <v>7.97</v>
      </c>
    </row>
    <row r="192" customHeight="1" spans="1:14">
      <c r="A192" s="15" t="s">
        <v>224</v>
      </c>
      <c r="B192" s="16">
        <v>46063</v>
      </c>
      <c r="C192" s="17" t="s">
        <v>28</v>
      </c>
      <c r="D192" s="17" t="s">
        <v>42</v>
      </c>
      <c r="E192" s="17" t="s">
        <v>21</v>
      </c>
      <c r="F192" s="17" t="s">
        <v>22</v>
      </c>
      <c r="G192" s="17">
        <v>2</v>
      </c>
      <c r="H192" s="17">
        <v>10856</v>
      </c>
      <c r="I192" s="17">
        <v>21712</v>
      </c>
      <c r="J192" s="17">
        <v>11790</v>
      </c>
      <c r="K192" s="17">
        <v>9922</v>
      </c>
      <c r="L192" s="17">
        <v>4.3</v>
      </c>
      <c r="M192" s="19">
        <v>8702</v>
      </c>
      <c r="N192" s="20">
        <f t="shared" si="5"/>
        <v>7.92</v>
      </c>
    </row>
    <row r="193" customHeight="1" spans="1:14">
      <c r="A193" s="15" t="s">
        <v>225</v>
      </c>
      <c r="B193" s="16">
        <v>46194</v>
      </c>
      <c r="C193" s="17" t="s">
        <v>15</v>
      </c>
      <c r="D193" s="17" t="s">
        <v>48</v>
      </c>
      <c r="E193" s="17" t="s">
        <v>17</v>
      </c>
      <c r="F193" s="17" t="s">
        <v>18</v>
      </c>
      <c r="G193" s="17">
        <v>10</v>
      </c>
      <c r="H193" s="17">
        <v>52180</v>
      </c>
      <c r="I193" s="17">
        <v>521800</v>
      </c>
      <c r="J193" s="17">
        <v>346860</v>
      </c>
      <c r="K193" s="17">
        <v>174940</v>
      </c>
      <c r="L193" s="17">
        <v>2.7</v>
      </c>
      <c r="M193" s="19">
        <v>7129</v>
      </c>
      <c r="N193" s="20">
        <f t="shared" si="5"/>
        <v>4.06</v>
      </c>
    </row>
    <row r="194" customHeight="1" spans="1:14">
      <c r="A194" s="15" t="s">
        <v>226</v>
      </c>
      <c r="B194" s="16">
        <v>46117</v>
      </c>
      <c r="C194" s="17" t="s">
        <v>28</v>
      </c>
      <c r="D194" s="17" t="s">
        <v>48</v>
      </c>
      <c r="E194" s="17" t="s">
        <v>21</v>
      </c>
      <c r="F194" s="17" t="s">
        <v>22</v>
      </c>
      <c r="G194" s="17">
        <v>6</v>
      </c>
      <c r="H194" s="17">
        <v>8409</v>
      </c>
      <c r="I194" s="17">
        <v>50454</v>
      </c>
      <c r="J194" s="17">
        <v>36906</v>
      </c>
      <c r="K194" s="17">
        <v>13548</v>
      </c>
      <c r="L194" s="17">
        <v>2.9</v>
      </c>
      <c r="M194" s="19">
        <v>12909</v>
      </c>
      <c r="N194" s="20">
        <f t="shared" si="5"/>
        <v>3.96</v>
      </c>
    </row>
    <row r="195" customHeight="1" spans="1:14">
      <c r="A195" s="15" t="s">
        <v>227</v>
      </c>
      <c r="B195" s="16">
        <v>46062</v>
      </c>
      <c r="C195" s="17" t="s">
        <v>28</v>
      </c>
      <c r="D195" s="17" t="s">
        <v>20</v>
      </c>
      <c r="E195" s="17" t="s">
        <v>29</v>
      </c>
      <c r="F195" s="17" t="s">
        <v>18</v>
      </c>
      <c r="G195" s="17">
        <v>5</v>
      </c>
      <c r="H195" s="17">
        <v>13009</v>
      </c>
      <c r="I195" s="17">
        <v>65045</v>
      </c>
      <c r="J195" s="17">
        <v>36535</v>
      </c>
      <c r="K195" s="17">
        <v>28510</v>
      </c>
      <c r="L195" s="17">
        <v>2.5</v>
      </c>
      <c r="M195" s="19">
        <v>12979</v>
      </c>
      <c r="N195" s="20">
        <f>ROUND(I195/J195*L195,2)</f>
        <v>4.45</v>
      </c>
    </row>
    <row r="196" customHeight="1" spans="1:14">
      <c r="A196" s="15" t="s">
        <v>228</v>
      </c>
      <c r="B196" s="16">
        <v>46171</v>
      </c>
      <c r="C196" s="17" t="s">
        <v>15</v>
      </c>
      <c r="D196" s="17" t="s">
        <v>35</v>
      </c>
      <c r="E196" s="17" t="s">
        <v>29</v>
      </c>
      <c r="F196" s="17" t="s">
        <v>18</v>
      </c>
      <c r="G196" s="17">
        <v>19</v>
      </c>
      <c r="H196" s="17">
        <v>12558</v>
      </c>
      <c r="I196" s="17">
        <v>238602</v>
      </c>
      <c r="J196" s="17">
        <v>134026</v>
      </c>
      <c r="K196" s="17">
        <v>104576</v>
      </c>
      <c r="L196" s="17">
        <v>3.1</v>
      </c>
      <c r="M196" s="19">
        <v>7738</v>
      </c>
      <c r="N196" s="20">
        <f>ROUND(I196/J196*L196,2)</f>
        <v>5.52</v>
      </c>
    </row>
    <row r="197" customHeight="1" spans="1:14">
      <c r="A197" s="15" t="s">
        <v>229</v>
      </c>
      <c r="B197" s="16">
        <v>46111</v>
      </c>
      <c r="C197" s="17" t="s">
        <v>15</v>
      </c>
      <c r="D197" s="17" t="s">
        <v>48</v>
      </c>
      <c r="E197" s="17" t="s">
        <v>29</v>
      </c>
      <c r="F197" s="17" t="s">
        <v>18</v>
      </c>
      <c r="G197" s="17">
        <v>16</v>
      </c>
      <c r="H197" s="17">
        <v>11180</v>
      </c>
      <c r="I197" s="17">
        <v>178880</v>
      </c>
      <c r="J197" s="17">
        <v>129936</v>
      </c>
      <c r="K197" s="17">
        <v>48944</v>
      </c>
      <c r="L197" s="17">
        <v>4.8</v>
      </c>
      <c r="M197" s="19">
        <v>9826</v>
      </c>
      <c r="N197" s="20">
        <f>ROUND(I197/J197*L197,2)</f>
        <v>6.61</v>
      </c>
    </row>
    <row r="198" customHeight="1" spans="1:14">
      <c r="A198" s="15" t="s">
        <v>230</v>
      </c>
      <c r="B198" s="16">
        <v>46110</v>
      </c>
      <c r="C198" s="17" t="s">
        <v>37</v>
      </c>
      <c r="D198" s="17" t="s">
        <v>48</v>
      </c>
      <c r="E198" s="17" t="s">
        <v>21</v>
      </c>
      <c r="F198" s="17" t="s">
        <v>22</v>
      </c>
      <c r="G198" s="17">
        <v>9</v>
      </c>
      <c r="H198" s="17">
        <v>12408</v>
      </c>
      <c r="I198" s="17">
        <v>111672</v>
      </c>
      <c r="J198" s="17">
        <v>51867</v>
      </c>
      <c r="K198" s="17">
        <v>59805</v>
      </c>
      <c r="L198" s="17">
        <v>4.5</v>
      </c>
      <c r="M198" s="19">
        <v>19948</v>
      </c>
      <c r="N198" s="20">
        <f>ROUND(I198/J198*L198,2)</f>
        <v>9.69</v>
      </c>
    </row>
    <row r="199" customHeight="1" spans="1:14">
      <c r="A199" s="15" t="s">
        <v>231</v>
      </c>
      <c r="B199" s="16">
        <v>46048</v>
      </c>
      <c r="C199" s="17" t="s">
        <v>37</v>
      </c>
      <c r="D199" s="17" t="s">
        <v>20</v>
      </c>
      <c r="E199" s="17" t="s">
        <v>26</v>
      </c>
      <c r="F199" s="17" t="s">
        <v>18</v>
      </c>
      <c r="G199" s="17">
        <v>8</v>
      </c>
      <c r="H199" s="17">
        <v>18871</v>
      </c>
      <c r="I199" s="17">
        <v>150968</v>
      </c>
      <c r="J199" s="17">
        <v>96344</v>
      </c>
      <c r="K199" s="17">
        <v>54624</v>
      </c>
      <c r="L199" s="17">
        <v>4.2</v>
      </c>
      <c r="M199" s="19">
        <v>18243</v>
      </c>
      <c r="N199" s="20">
        <f>ROUND(I199/J199*L199,2)</f>
        <v>6.58</v>
      </c>
    </row>
    <row r="200" customHeight="1" spans="1:14">
      <c r="A200" s="15" t="s">
        <v>232</v>
      </c>
      <c r="B200" s="16">
        <v>46112</v>
      </c>
      <c r="C200" s="17" t="s">
        <v>15</v>
      </c>
      <c r="D200" s="17" t="s">
        <v>20</v>
      </c>
      <c r="E200" s="17" t="s">
        <v>21</v>
      </c>
      <c r="F200" s="17" t="s">
        <v>22</v>
      </c>
      <c r="G200" s="17">
        <v>12</v>
      </c>
      <c r="H200" s="17">
        <v>10117</v>
      </c>
      <c r="I200" s="17">
        <v>121404</v>
      </c>
      <c r="J200" s="17">
        <v>77832</v>
      </c>
      <c r="K200" s="17">
        <v>43572</v>
      </c>
      <c r="L200" s="17">
        <v>3.5</v>
      </c>
      <c r="M200" s="19">
        <v>12424</v>
      </c>
      <c r="N200" s="20">
        <f>ROUND(I200/J200*L200,2)</f>
        <v>5.46</v>
      </c>
    </row>
    <row r="201" customHeight="1" spans="1:14">
      <c r="A201" s="21" t="s">
        <v>233</v>
      </c>
      <c r="B201" s="22">
        <v>46061</v>
      </c>
      <c r="C201" s="23" t="s">
        <v>37</v>
      </c>
      <c r="D201" s="23" t="s">
        <v>16</v>
      </c>
      <c r="E201" s="23" t="s">
        <v>32</v>
      </c>
      <c r="F201" s="23" t="s">
        <v>18</v>
      </c>
      <c r="G201" s="23">
        <v>9</v>
      </c>
      <c r="H201" s="23">
        <v>27558</v>
      </c>
      <c r="I201" s="23">
        <v>248022</v>
      </c>
      <c r="J201" s="23">
        <v>157860</v>
      </c>
      <c r="K201" s="23">
        <v>90162</v>
      </c>
      <c r="L201" s="23">
        <v>4.1</v>
      </c>
      <c r="M201" s="24">
        <v>15241</v>
      </c>
      <c r="N201" s="25">
        <f>ROUND(I201/J201*L201,2)</f>
        <v>6.44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68333333333333" defaultRowHeight="14.25" outlineLevelCol="1"/>
  <cols>
    <col min="1" max="1" width="63.25" style="1" customWidth="1"/>
    <col min="2" max="2" width="20" style="2" customWidth="1"/>
    <col min="3" max="16384" width="8.68333333333333" style="3"/>
  </cols>
  <sheetData>
    <row r="1" customFormat="1" ht="15" customHeight="1" spans="1:2">
      <c r="A1" s="4" t="s">
        <v>234</v>
      </c>
      <c r="B1" s="5" t="s">
        <v>235</v>
      </c>
    </row>
    <row r="2" customFormat="1" ht="15" customHeight="1" spans="1:2">
      <c r="A2" s="6" t="s">
        <v>236</v>
      </c>
      <c r="B2" s="7"/>
    </row>
    <row r="3" customFormat="1" ht="15" customHeight="1" spans="1:2">
      <c r="A3" s="8" t="s">
        <v>237</v>
      </c>
      <c r="B3" s="9">
        <f>SUM(Sheet1!I2:I201)</f>
        <v>42764735</v>
      </c>
    </row>
    <row r="4" customFormat="1" ht="15" customHeight="1" spans="1:2">
      <c r="A4" s="8" t="s">
        <v>238</v>
      </c>
      <c r="B4" s="9">
        <f>SUM(Sheet1!K2:K201)</f>
        <v>13941975</v>
      </c>
    </row>
    <row r="5" customFormat="1" ht="15" customHeight="1" spans="1:2">
      <c r="A5" s="8" t="s">
        <v>239</v>
      </c>
      <c r="B5" s="9">
        <f>AVERAGE(Sheet1!I2:I201)</f>
        <v>213823.675</v>
      </c>
    </row>
    <row r="6" customFormat="1" ht="15" customHeight="1" spans="1:2">
      <c r="A6" s="8" t="s">
        <v>240</v>
      </c>
      <c r="B6" s="9">
        <f>AVERAGE(Sheet1!L2:L201)</f>
        <v>3.7445</v>
      </c>
    </row>
    <row r="7" customFormat="1" ht="15" customHeight="1" spans="1:2">
      <c r="A7" s="8" t="s">
        <v>241</v>
      </c>
      <c r="B7" s="9">
        <f>COUNTA(Sheet1!A2:A201)</f>
        <v>200</v>
      </c>
    </row>
    <row r="8" customFormat="1" ht="15" customHeight="1" spans="1:2">
      <c r="A8" s="6" t="s">
        <v>242</v>
      </c>
      <c r="B8" s="7"/>
    </row>
    <row r="9" customFormat="1" ht="15" customHeight="1" spans="1:2">
      <c r="A9" s="8" t="s">
        <v>243</v>
      </c>
      <c r="B9" s="9">
        <f>MAX(Sheet1!I2:I201)</f>
        <v>997100</v>
      </c>
    </row>
    <row r="10" customFormat="1" ht="15" customHeight="1" spans="1:2">
      <c r="A10" s="8" t="s">
        <v>244</v>
      </c>
      <c r="B10" s="9">
        <f>MIN(Sheet1!K2:K201)</f>
        <v>-13685</v>
      </c>
    </row>
    <row r="11" customFormat="1" ht="15" customHeight="1" spans="1:2">
      <c r="A11" s="8" t="s">
        <v>245</v>
      </c>
      <c r="B11" s="9">
        <f>LARGE(Sheet1!I2:I201,2)</f>
        <v>976240</v>
      </c>
    </row>
    <row r="12" customFormat="1" ht="15" customHeight="1" spans="1:2">
      <c r="A12" s="8" t="s">
        <v>246</v>
      </c>
      <c r="B12" s="9">
        <f>SMALL(Sheet1!K2:K201,5)</f>
        <v>-1660</v>
      </c>
    </row>
    <row r="13" customFormat="1" ht="15" customHeight="1" spans="1:2">
      <c r="A13" s="8" t="s">
        <v>247</v>
      </c>
      <c r="B13" s="9">
        <f>COUNT(Sheet1!L2:L201)</f>
        <v>200</v>
      </c>
    </row>
    <row r="14" customFormat="1" ht="15" customHeight="1" spans="1:2">
      <c r="A14" s="6" t="s">
        <v>248</v>
      </c>
      <c r="B14" s="7"/>
    </row>
    <row r="15" customFormat="1" ht="15" customHeight="1" spans="1:2">
      <c r="A15" s="8" t="s">
        <v>249</v>
      </c>
      <c r="B15" s="9">
        <f>ROUND(AVERAGE(Sheet1!I2:I201),2)</f>
        <v>213823.68</v>
      </c>
    </row>
    <row r="16" customFormat="1" ht="15" customHeight="1" spans="1:2">
      <c r="A16" s="8" t="s">
        <v>250</v>
      </c>
      <c r="B16" s="9">
        <f>ROUND(MAX(Sheet1!I2:I201),-3)</f>
        <v>997000</v>
      </c>
    </row>
    <row r="17" customFormat="1" ht="15" customHeight="1" spans="1:2">
      <c r="A17" s="8" t="s">
        <v>251</v>
      </c>
      <c r="B17" s="9">
        <f>ROUNDDOWN(AVERAGE(Sheet1!L2:L201),0)</f>
        <v>3</v>
      </c>
    </row>
    <row r="18" customFormat="1" ht="15" customHeight="1" spans="1:2">
      <c r="A18" s="8" t="s">
        <v>252</v>
      </c>
      <c r="B18" s="9">
        <f>ROUNDUP(AVERAGE(Sheet1!K2:K201),-2)</f>
        <v>69800</v>
      </c>
    </row>
    <row r="19" customFormat="1" ht="15" customHeight="1" spans="1:2">
      <c r="A19" s="6" t="s">
        <v>253</v>
      </c>
      <c r="B19" s="7"/>
    </row>
    <row r="20" customFormat="1" ht="15" customHeight="1" spans="1:2">
      <c r="A20" s="8" t="s">
        <v>254</v>
      </c>
      <c r="B20" s="9">
        <f>ABS(MIN(Sheet1!K2:K201))</f>
        <v>13685</v>
      </c>
    </row>
    <row r="21" customFormat="1" ht="15" customHeight="1" spans="1:2">
      <c r="A21" s="8" t="s">
        <v>255</v>
      </c>
      <c r="B21" s="9" t="str">
        <f>IF(ISEVEN(COUNTA(Sheet1!A2:A201)),"Even","Odd")</f>
        <v>Even</v>
      </c>
    </row>
    <row r="22" customFormat="1" ht="15" customHeight="1" spans="1:2">
      <c r="A22" s="8" t="s">
        <v>256</v>
      </c>
      <c r="B22" s="9">
        <f>SQRT(MAX(Sheet1!I2:I201))</f>
        <v>998.548947222919</v>
      </c>
    </row>
    <row r="23" customFormat="1" ht="15" customHeight="1" spans="1:2">
      <c r="A23" s="8" t="s">
        <v>257</v>
      </c>
      <c r="B23" s="9">
        <f>POWER(AVERAGE(Sheet1!G2:G201),3)</f>
        <v>1151.022592</v>
      </c>
    </row>
    <row r="24" customFormat="1" ht="15" customHeight="1" spans="1:2">
      <c r="A24" s="6" t="s">
        <v>258</v>
      </c>
      <c r="B24" s="7"/>
    </row>
    <row r="25" customFormat="1" ht="15" customHeight="1" spans="1:2">
      <c r="A25" s="8" t="s">
        <v>259</v>
      </c>
      <c r="B25" s="9">
        <f ca="1">RANDBETWEEN(5000,20000)</f>
        <v>9256</v>
      </c>
    </row>
    <row r="26" customFormat="1" ht="15" customHeight="1" spans="1:2">
      <c r="A26" s="6" t="s">
        <v>260</v>
      </c>
      <c r="B26" s="7"/>
    </row>
    <row r="27" customFormat="1" ht="15" customHeight="1" spans="1:2">
      <c r="A27" s="8" t="s">
        <v>261</v>
      </c>
      <c r="B27" s="9">
        <f>MAX(Sheet1!N2:N201)</f>
        <v>14.7</v>
      </c>
    </row>
    <row r="28" customFormat="1" ht="15" customHeight="1" spans="1:2">
      <c r="A28" s="8" t="s">
        <v>262</v>
      </c>
      <c r="B28" s="9">
        <f>AVERAGE(Sheet1!N2:N201)</f>
        <v>5.80295</v>
      </c>
    </row>
    <row r="29" customFormat="1" ht="15" customHeight="1" spans="1:2">
      <c r="A29" s="8" t="s">
        <v>263</v>
      </c>
      <c r="B29" s="9">
        <f>LARGE(Sheet1!N2:N201,1)</f>
        <v>14.7</v>
      </c>
    </row>
    <row r="30" customFormat="1" ht="15" customHeight="1" spans="1:2">
      <c r="A30" s="8" t="s">
        <v>264</v>
      </c>
      <c r="B30" s="9">
        <f>LARGE(Sheet1!N2:N201,2)</f>
        <v>13.31</v>
      </c>
    </row>
    <row r="31" customFormat="1" ht="15" customHeight="1" spans="1:2">
      <c r="A31" s="8" t="s">
        <v>265</v>
      </c>
      <c r="B31" s="9">
        <f>LARGE(Sheet1!N2:N201,3)</f>
        <v>12.96</v>
      </c>
    </row>
    <row r="32" customFormat="1" ht="15" customHeight="1" spans="1:2">
      <c r="A32" s="6" t="s">
        <v>266</v>
      </c>
      <c r="B32" s="7"/>
    </row>
    <row r="33" customFormat="1" ht="15" customHeight="1" spans="1:2">
      <c r="A33" s="8" t="s">
        <v>267</v>
      </c>
      <c r="B33" s="9">
        <f>SUMIF(Sheet1!C2:C201,"North",Sheet1!I2:I201)</f>
        <v>13294988</v>
      </c>
    </row>
    <row r="34" customFormat="1" ht="15" customHeight="1" spans="1:2">
      <c r="A34" s="8" t="s">
        <v>268</v>
      </c>
      <c r="B34" s="9">
        <f>SUMIF(Sheet1!F2:F201,"Electronics",Sheet1!K2:K201)</f>
        <v>12192923</v>
      </c>
    </row>
    <row r="35" customFormat="1" ht="15" customHeight="1" spans="1:2">
      <c r="A35" s="8" t="s">
        <v>269</v>
      </c>
      <c r="B35" s="9">
        <f>SUMIF(Sheet1!E2:E201,"Laptop",Sheet1!I2:I201)</f>
        <v>18790571</v>
      </c>
    </row>
    <row r="36" customFormat="1" ht="15" customHeight="1" spans="1:2">
      <c r="A36" s="8" t="s">
        <v>270</v>
      </c>
      <c r="B36" s="9">
        <f>SUMIFS(Sheet1!I2:I201,Sheet1!C2:C201,"North",Sheet1!E2:E201,"Laptop")</f>
        <v>6115056</v>
      </c>
    </row>
    <row r="37" customFormat="1" ht="15" customHeight="1" spans="1:2">
      <c r="A37" s="8" t="s">
        <v>271</v>
      </c>
      <c r="B37" s="9">
        <f>SUMIFS(Sheet1!K2:K201,Sheet1!C2:C201,"South",Sheet1!F2:F201,"Furniture")</f>
        <v>528257</v>
      </c>
    </row>
    <row r="38" customFormat="1" ht="15" customHeight="1" spans="1:2">
      <c r="A38" s="6" t="s">
        <v>272</v>
      </c>
      <c r="B38" s="7"/>
    </row>
    <row r="39" customFormat="1" ht="15" customHeight="1" spans="1:2">
      <c r="A39" s="8" t="s">
        <v>273</v>
      </c>
      <c r="B39" s="9">
        <f>COUNTIF(Sheet1!C2:C201,"West")</f>
        <v>53</v>
      </c>
    </row>
    <row r="40" customFormat="1" ht="15" customHeight="1" spans="1:2">
      <c r="A40" s="8" t="s">
        <v>274</v>
      </c>
      <c r="B40" s="9">
        <f>COUNTIF(Sheet1!L2:L201,"&gt;4")</f>
        <v>80</v>
      </c>
    </row>
    <row r="41" customFormat="1" ht="15" customHeight="1" spans="1:2">
      <c r="A41" s="8" t="s">
        <v>275</v>
      </c>
      <c r="B41" s="9">
        <f>COUNTIF(Sheet1!E2:E201,"Laptop")</f>
        <v>34</v>
      </c>
    </row>
    <row r="42" customFormat="1" ht="15" customHeight="1" spans="1:2">
      <c r="A42" s="8" t="s">
        <v>276</v>
      </c>
      <c r="B42" s="9">
        <f>COUNTIFS(Sheet1!C2:C201,"East",Sheet1!E2:E201,"Mobile")</f>
        <v>11</v>
      </c>
    </row>
    <row r="43" customFormat="1" ht="15" customHeight="1" spans="1:2">
      <c r="A43" s="8" t="s">
        <v>277</v>
      </c>
      <c r="B43" s="9">
        <f>COUNTIFS(Sheet1!F2:F201,"Electronics",Sheet1!L2:L201,"&gt;4")</f>
        <v>53</v>
      </c>
    </row>
    <row r="44" customFormat="1" ht="15" customHeight="1" spans="1:2">
      <c r="A44" s="6" t="s">
        <v>278</v>
      </c>
      <c r="B44" s="7"/>
    </row>
    <row r="45" customFormat="1" ht="15" customHeight="1" spans="1:2">
      <c r="A45" s="8" t="s">
        <v>279</v>
      </c>
      <c r="B45" s="9">
        <f>AVERAGEIF(Sheet1!C2:C201,"North",Sheet1!I2:I201)</f>
        <v>250848.830188679</v>
      </c>
    </row>
    <row r="46" customFormat="1" ht="15" customHeight="1" spans="1:2">
      <c r="A46" s="8" t="s">
        <v>280</v>
      </c>
      <c r="B46" s="9">
        <f>AVERAGEIF(Sheet1!F2:F201,"Furniture",Sheet1!K2:K201)</f>
        <v>25348.5797101449</v>
      </c>
    </row>
    <row r="47" customFormat="1" ht="15" customHeight="1" spans="1:2">
      <c r="A47" s="8" t="s">
        <v>281</v>
      </c>
      <c r="B47" s="9">
        <f>AVERAGEIF(Sheet1!E2:E201,"Laptop",Sheet1!L2:L201)</f>
        <v>3.82941176470588</v>
      </c>
    </row>
    <row r="48" customFormat="1" ht="15" customHeight="1" spans="1:2">
      <c r="A48" s="8" t="s">
        <v>282</v>
      </c>
      <c r="B48" s="9">
        <f>AVERAGEIFS(Sheet1!I2:I201,Sheet1!C2:C201,"South",Sheet1!E2:E201,"Mobile")</f>
        <v>207214.428571429</v>
      </c>
    </row>
    <row r="49" customFormat="1" ht="15" customHeight="1" spans="1:2">
      <c r="A49" s="8" t="s">
        <v>283</v>
      </c>
      <c r="B49" s="9">
        <f>AVERAGEIFS(Sheet1!K2:K201,Sheet1!F2:F201,"Electronics",Sheet1!L2:L201,"&gt;4")</f>
        <v>87040.9622641509</v>
      </c>
    </row>
    <row r="50" customFormat="1" ht="15" customHeight="1" spans="1:2">
      <c r="A50" s="6" t="s">
        <v>284</v>
      </c>
      <c r="B50" s="7"/>
    </row>
    <row r="51" customFormat="1" ht="15" customHeight="1" spans="1:2">
      <c r="A51" s="8" t="s">
        <v>285</v>
      </c>
      <c r="B51" s="9">
        <f>SUMIF(Sheet1!C2:C201,"&lt;&gt;North",Sheet1!I2:I201)</f>
        <v>29469747</v>
      </c>
    </row>
    <row r="52" customFormat="1" ht="15" customHeight="1" spans="1:2">
      <c r="A52" s="8" t="s">
        <v>286</v>
      </c>
      <c r="B52" s="9">
        <f>COUNTIF(Sheet1!F2:F201,"&lt;&gt;Furniture")</f>
        <v>131</v>
      </c>
    </row>
    <row r="53" customFormat="1" ht="15" customHeight="1" spans="1:2">
      <c r="A53" s="8" t="s">
        <v>287</v>
      </c>
      <c r="B53" s="9">
        <f>AVERAGEIF(Sheet1!C2:C201,"&lt;&gt;West",Sheet1!K2:K201)</f>
        <v>72143.2108843537</v>
      </c>
    </row>
    <row r="54" customFormat="1" ht="15" customHeight="1" spans="1:2">
      <c r="A54" s="8" t="s">
        <v>288</v>
      </c>
      <c r="B54" s="9">
        <f>COUNTIF(Sheet1!D2:D201,"P*")</f>
        <v>60</v>
      </c>
    </row>
    <row r="55" customFormat="1" ht="15" customHeight="1" spans="1:2">
      <c r="A55" s="10" t="s">
        <v>289</v>
      </c>
      <c r="B55" s="11">
        <f>SUMIFS(Sheet1!I2:I201,Sheet1!C2:C201,"North",Sheet1!E2:E201,"Laptop",Sheet1!L2:L201,"&gt;4")</f>
        <v>2457588</v>
      </c>
    </row>
  </sheetData>
  <mergeCells count="10">
    <mergeCell ref="A2:B2"/>
    <mergeCell ref="A8:B8"/>
    <mergeCell ref="A14:B14"/>
    <mergeCell ref="A19:B19"/>
    <mergeCell ref="A24:B24"/>
    <mergeCell ref="A26:B26"/>
    <mergeCell ref="A32:B32"/>
    <mergeCell ref="A38:B38"/>
    <mergeCell ref="A44:B44"/>
    <mergeCell ref="A50:B50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Solutions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madanmohantiwari</dc:creator>
  <cp:lastModifiedBy>madanmohantiwari</cp:lastModifiedBy>
  <cp:revision>0</cp:revision>
  <dcterms:created xsi:type="dcterms:W3CDTF">2026-07-04T05:27:00Z</dcterms:created>
  <dcterms:modified xsi:type="dcterms:W3CDTF">2026-07-04T12:40:58Z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